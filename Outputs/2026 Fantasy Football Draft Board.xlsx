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jacksonchlebowy/Desktop/Fantasy Football Project/"/>
    </mc:Choice>
  </mc:AlternateContent>
  <xr:revisionPtr revIDLastSave="0" documentId="13_ncr:1_{6F82B796-45DB-D649-B180-CDCA6EB27A46}" xr6:coauthVersionLast="47" xr6:coauthVersionMax="47" xr10:uidLastSave="{00000000-0000-0000-0000-000000000000}"/>
  <bookViews>
    <workbookView xWindow="0" yWindow="500" windowWidth="28800" windowHeight="16420" xr2:uid="{21E26EA1-803A-084D-AD6F-0535EC5DB83D}"/>
  </bookViews>
  <sheets>
    <sheet name="Draft Board" sheetId="1" r:id="rId1"/>
    <sheet name="Ros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15" i="1" l="1"/>
  <c r="X115" i="1"/>
  <c r="J9" i="1"/>
  <c r="X9" i="1"/>
  <c r="X2" i="1"/>
  <c r="X8" i="1"/>
  <c r="X6" i="1"/>
  <c r="X3" i="1"/>
  <c r="X17" i="1"/>
  <c r="X21" i="1"/>
  <c r="X20" i="1"/>
  <c r="X37" i="1"/>
  <c r="X28" i="1"/>
  <c r="X40" i="1"/>
  <c r="X13" i="1"/>
  <c r="X57" i="1"/>
  <c r="X23" i="1"/>
  <c r="X29" i="1"/>
  <c r="X54" i="1"/>
  <c r="X95" i="1"/>
  <c r="X56" i="1"/>
  <c r="X80" i="1"/>
  <c r="X66" i="1"/>
  <c r="X26" i="1"/>
  <c r="X4" i="1"/>
  <c r="X45" i="1"/>
  <c r="X59" i="1"/>
  <c r="X34" i="1"/>
  <c r="X63" i="1"/>
  <c r="X42" i="1"/>
  <c r="X70" i="1"/>
  <c r="X43" i="1"/>
  <c r="X65" i="1"/>
  <c r="X55" i="1"/>
  <c r="X47" i="1"/>
  <c r="X36" i="1"/>
  <c r="X84" i="1"/>
  <c r="X62" i="1"/>
  <c r="X74" i="1"/>
  <c r="X11" i="1"/>
  <c r="X60" i="1"/>
  <c r="X114" i="1"/>
  <c r="X76" i="1"/>
  <c r="X72" i="1"/>
  <c r="X79" i="1"/>
  <c r="X120" i="1"/>
  <c r="X86" i="1"/>
  <c r="X87" i="1"/>
  <c r="X85" i="1"/>
  <c r="X64" i="1"/>
  <c r="X5" i="1"/>
  <c r="X146" i="1"/>
  <c r="X71" i="1"/>
  <c r="X103" i="1"/>
  <c r="X73" i="1"/>
  <c r="X27" i="1"/>
  <c r="X171" i="1"/>
  <c r="X135" i="1"/>
  <c r="X24" i="1"/>
  <c r="X12" i="1"/>
  <c r="X68" i="1"/>
  <c r="X104" i="1"/>
  <c r="X158" i="1"/>
  <c r="X92" i="1"/>
  <c r="X124" i="1"/>
  <c r="X205" i="1"/>
  <c r="X121" i="1"/>
  <c r="X91" i="1"/>
  <c r="X110" i="1"/>
  <c r="X94" i="1"/>
  <c r="X116" i="1"/>
  <c r="X19" i="1"/>
  <c r="X78" i="1"/>
  <c r="X22" i="1"/>
  <c r="X88" i="1"/>
  <c r="X113" i="1"/>
  <c r="X82" i="1"/>
  <c r="X16" i="1"/>
  <c r="X15" i="1"/>
  <c r="X7" i="1"/>
  <c r="X102" i="1"/>
  <c r="X106" i="1"/>
  <c r="X89" i="1"/>
  <c r="X75" i="1"/>
  <c r="X117" i="1"/>
  <c r="X18" i="1"/>
  <c r="X128" i="1"/>
  <c r="X145" i="1"/>
  <c r="X10" i="1"/>
  <c r="X109" i="1"/>
  <c r="X14" i="1"/>
  <c r="X97" i="1"/>
  <c r="X46" i="1"/>
  <c r="X122" i="1"/>
  <c r="X149" i="1"/>
  <c r="X108" i="1"/>
  <c r="X150" i="1"/>
  <c r="X139" i="1"/>
  <c r="X161" i="1"/>
  <c r="X98" i="1"/>
  <c r="X90" i="1"/>
  <c r="X177" i="1"/>
  <c r="X154" i="1"/>
  <c r="X77" i="1"/>
  <c r="X119" i="1"/>
  <c r="X178" i="1"/>
  <c r="X25" i="1"/>
  <c r="X172" i="1"/>
  <c r="X153" i="1"/>
  <c r="X190" i="1"/>
  <c r="X151" i="1"/>
  <c r="X48" i="1"/>
  <c r="X143" i="1"/>
  <c r="X130" i="1"/>
  <c r="X138" i="1"/>
  <c r="X30" i="1"/>
  <c r="X133" i="1"/>
  <c r="X32" i="1"/>
  <c r="X167" i="1"/>
  <c r="X126" i="1"/>
  <c r="X99" i="1"/>
  <c r="X163" i="1"/>
  <c r="X107" i="1"/>
  <c r="X44" i="1"/>
  <c r="X218" i="1"/>
  <c r="X199" i="1"/>
  <c r="X101" i="1"/>
  <c r="X187" i="1"/>
  <c r="X31" i="1"/>
  <c r="X144" i="1"/>
  <c r="X254" i="1"/>
  <c r="X262" i="1"/>
  <c r="X131" i="1"/>
  <c r="X176" i="1"/>
  <c r="X212" i="1"/>
  <c r="X162" i="1"/>
  <c r="X38" i="1"/>
  <c r="X112" i="1"/>
  <c r="X35" i="1"/>
  <c r="X137" i="1"/>
  <c r="X181" i="1"/>
  <c r="X180" i="1"/>
  <c r="X123" i="1"/>
  <c r="X39" i="1"/>
  <c r="X125" i="1"/>
  <c r="X229" i="1"/>
  <c r="X147" i="1"/>
  <c r="X253" i="1"/>
  <c r="X67" i="1"/>
  <c r="X209" i="1"/>
  <c r="X222" i="1"/>
  <c r="X49" i="1"/>
  <c r="X33" i="1"/>
  <c r="X136" i="1"/>
  <c r="X182" i="1"/>
  <c r="X183" i="1"/>
  <c r="X157" i="1"/>
  <c r="X248" i="1"/>
  <c r="X223" i="1"/>
  <c r="X243" i="1"/>
  <c r="X156" i="1"/>
  <c r="X225" i="1"/>
  <c r="X234" i="1"/>
  <c r="X231" i="1"/>
  <c r="X239" i="1"/>
  <c r="X165" i="1"/>
  <c r="X206" i="1"/>
  <c r="X189" i="1"/>
  <c r="X142" i="1"/>
  <c r="X216" i="1"/>
  <c r="X207" i="1"/>
  <c r="X221" i="1"/>
  <c r="X217" i="1"/>
  <c r="X232" i="1"/>
  <c r="X51" i="1"/>
  <c r="X152" i="1"/>
  <c r="X175" i="1"/>
  <c r="X215" i="1"/>
  <c r="X270" i="1"/>
  <c r="X196" i="1"/>
  <c r="X197" i="1"/>
  <c r="X168" i="1"/>
  <c r="X235" i="1"/>
  <c r="X155" i="1"/>
  <c r="X192" i="1"/>
  <c r="X201" i="1"/>
  <c r="X140" i="1"/>
  <c r="X193" i="1"/>
  <c r="X69" i="1"/>
  <c r="X211" i="1"/>
  <c r="X224" i="1"/>
  <c r="X261" i="1"/>
  <c r="X240" i="1"/>
  <c r="X251" i="1"/>
  <c r="X194" i="1"/>
  <c r="X247" i="1"/>
  <c r="X159" i="1"/>
  <c r="X273" i="1"/>
  <c r="X255" i="1"/>
  <c r="X195" i="1"/>
  <c r="X198" i="1"/>
  <c r="X200" i="1"/>
  <c r="X203" i="1"/>
  <c r="X148" i="1"/>
  <c r="X160" i="1"/>
  <c r="X233" i="1"/>
  <c r="X173" i="1"/>
  <c r="X169" i="1"/>
  <c r="X185" i="1"/>
  <c r="X164" i="1"/>
  <c r="X61" i="1"/>
  <c r="X41" i="1"/>
  <c r="X50" i="1"/>
  <c r="X53" i="1"/>
  <c r="X52" i="1"/>
  <c r="X58" i="1"/>
  <c r="X96" i="1"/>
  <c r="X100" i="1"/>
  <c r="X93" i="1"/>
  <c r="X83" i="1"/>
  <c r="X81" i="1"/>
  <c r="X111" i="1"/>
  <c r="X141" i="1"/>
  <c r="X105" i="1"/>
  <c r="X118" i="1"/>
  <c r="X132" i="1"/>
  <c r="X129" i="1"/>
  <c r="X127" i="1"/>
  <c r="X134" i="1"/>
  <c r="X166" i="1"/>
  <c r="X179" i="1"/>
  <c r="X170" i="1"/>
  <c r="X174" i="1"/>
  <c r="X210" i="1"/>
  <c r="X202" i="1"/>
  <c r="X184" i="1"/>
  <c r="X188" i="1"/>
  <c r="X219" i="1"/>
  <c r="X186" i="1"/>
  <c r="X208" i="1"/>
  <c r="X220" i="1"/>
  <c r="X204" i="1"/>
  <c r="X227" i="1"/>
  <c r="X236" i="1"/>
  <c r="X238" i="1"/>
  <c r="X244" i="1"/>
  <c r="X226" i="1"/>
  <c r="X214" i="1"/>
  <c r="X213" i="1"/>
  <c r="X250" i="1"/>
  <c r="X260" i="1"/>
  <c r="X246" i="1"/>
  <c r="X257" i="1"/>
  <c r="X265" i="1"/>
  <c r="X191" i="1"/>
  <c r="X264" i="1"/>
  <c r="X237" i="1"/>
  <c r="X252" i="1"/>
  <c r="X228" i="1"/>
  <c r="X245" i="1"/>
  <c r="X230" i="1"/>
  <c r="X266" i="1"/>
  <c r="X256" i="1"/>
  <c r="X258" i="1"/>
  <c r="X249" i="1"/>
  <c r="X269" i="1"/>
  <c r="X271" i="1"/>
  <c r="X267" i="1"/>
  <c r="X241" i="1"/>
  <c r="X242" i="1"/>
  <c r="X259" i="1"/>
  <c r="X272" i="1"/>
  <c r="X268" i="1"/>
  <c r="X276" i="1"/>
  <c r="X263" i="1"/>
  <c r="X275" i="1"/>
  <c r="X274" i="1"/>
  <c r="J2" i="1"/>
  <c r="J4" i="1"/>
  <c r="J5" i="1"/>
  <c r="J21" i="1"/>
  <c r="J7" i="1"/>
  <c r="J28" i="1"/>
  <c r="J8" i="1"/>
  <c r="J15" i="1"/>
  <c r="J19" i="1"/>
  <c r="J24" i="1"/>
  <c r="J13" i="1"/>
  <c r="J10" i="1"/>
  <c r="J16" i="1"/>
  <c r="J11" i="1"/>
  <c r="J6" i="1"/>
  <c r="J12" i="1"/>
  <c r="J14" i="1"/>
  <c r="J20" i="1"/>
  <c r="J17" i="1"/>
  <c r="J22" i="1"/>
  <c r="J55" i="1"/>
  <c r="J18" i="1"/>
  <c r="J31" i="1"/>
  <c r="J3" i="1"/>
  <c r="J61" i="1"/>
  <c r="J26" i="1"/>
  <c r="J23" i="1"/>
  <c r="J41" i="1"/>
  <c r="J46" i="1"/>
  <c r="J27" i="1"/>
  <c r="J30" i="1"/>
  <c r="J63" i="1"/>
  <c r="J35" i="1"/>
  <c r="J34" i="1"/>
  <c r="J70" i="1"/>
  <c r="J48" i="1"/>
  <c r="J38" i="1"/>
  <c r="J29" i="1"/>
  <c r="J25" i="1"/>
  <c r="J36" i="1"/>
  <c r="J37" i="1"/>
  <c r="J32" i="1"/>
  <c r="J42" i="1"/>
  <c r="J50" i="1"/>
  <c r="J45" i="1"/>
  <c r="J39" i="1"/>
  <c r="J51" i="1"/>
  <c r="J33" i="1"/>
  <c r="J53" i="1"/>
  <c r="J44" i="1"/>
  <c r="J49" i="1"/>
  <c r="J80" i="1"/>
  <c r="J76" i="1"/>
  <c r="J40" i="1"/>
  <c r="J68" i="1"/>
  <c r="J52" i="1"/>
  <c r="J59" i="1"/>
  <c r="J62" i="1"/>
  <c r="J58" i="1"/>
  <c r="J47" i="1"/>
  <c r="J74" i="1"/>
  <c r="J84" i="1"/>
  <c r="J66" i="1"/>
  <c r="J77" i="1"/>
  <c r="J69" i="1"/>
  <c r="J71" i="1"/>
  <c r="J67" i="1"/>
  <c r="J57" i="1"/>
  <c r="J90" i="1"/>
  <c r="J43" i="1"/>
  <c r="J56" i="1"/>
  <c r="J75" i="1"/>
  <c r="J60" i="1"/>
  <c r="J72" i="1"/>
  <c r="J65" i="1"/>
  <c r="J92" i="1"/>
  <c r="J98" i="1"/>
  <c r="J73" i="1"/>
  <c r="J96" i="1"/>
  <c r="J88" i="1"/>
  <c r="J100" i="1"/>
  <c r="J78" i="1"/>
  <c r="J85" i="1"/>
  <c r="J110" i="1"/>
  <c r="J104" i="1"/>
  <c r="J86" i="1"/>
  <c r="J120" i="1"/>
  <c r="J79" i="1"/>
  <c r="J82" i="1"/>
  <c r="J97" i="1"/>
  <c r="J93" i="1"/>
  <c r="J102" i="1"/>
  <c r="J54" i="1"/>
  <c r="J83" i="1"/>
  <c r="J103" i="1"/>
  <c r="J113" i="1"/>
  <c r="J91" i="1"/>
  <c r="J81" i="1"/>
  <c r="J111" i="1"/>
  <c r="J87" i="1"/>
  <c r="J94" i="1"/>
  <c r="J108" i="1"/>
  <c r="J101" i="1"/>
  <c r="J146" i="1"/>
  <c r="J124" i="1"/>
  <c r="J64" i="1"/>
  <c r="J141" i="1"/>
  <c r="J114" i="1"/>
  <c r="J105" i="1"/>
  <c r="J109" i="1"/>
  <c r="J95" i="1"/>
  <c r="J116" i="1"/>
  <c r="J125" i="1"/>
  <c r="J106" i="1"/>
  <c r="J130" i="1"/>
  <c r="J118" i="1"/>
  <c r="J121" i="1"/>
  <c r="J107" i="1"/>
  <c r="J119" i="1"/>
  <c r="J148" i="1"/>
  <c r="J117" i="1"/>
  <c r="J123" i="1"/>
  <c r="J162" i="1"/>
  <c r="J132" i="1"/>
  <c r="J144" i="1"/>
  <c r="J129" i="1"/>
  <c r="J182" i="1"/>
  <c r="J142" i="1"/>
  <c r="J127" i="1"/>
  <c r="J128" i="1"/>
  <c r="J134" i="1"/>
  <c r="J89" i="1"/>
  <c r="J112" i="1"/>
  <c r="J150" i="1"/>
  <c r="J99" i="1"/>
  <c r="J122" i="1"/>
  <c r="J140" i="1"/>
  <c r="J161" i="1"/>
  <c r="J126" i="1"/>
  <c r="J151" i="1"/>
  <c r="J138" i="1"/>
  <c r="J136" i="1"/>
  <c r="J131" i="1"/>
  <c r="J183" i="1"/>
  <c r="J137" i="1"/>
  <c r="J133" i="1"/>
  <c r="J160" i="1"/>
  <c r="J157" i="1"/>
  <c r="J145" i="1"/>
  <c r="J166" i="1"/>
  <c r="J171" i="1"/>
  <c r="J152" i="1"/>
  <c r="J158" i="1"/>
  <c r="J175" i="1"/>
  <c r="J153" i="1"/>
  <c r="J172" i="1"/>
  <c r="J139" i="1"/>
  <c r="J173" i="1"/>
  <c r="J164" i="1"/>
  <c r="J135" i="1"/>
  <c r="J177" i="1"/>
  <c r="J143" i="1"/>
  <c r="J147" i="1"/>
  <c r="J185" i="1"/>
  <c r="J169" i="1"/>
  <c r="J159" i="1"/>
  <c r="J149" i="1"/>
  <c r="J168" i="1"/>
  <c r="J179" i="1"/>
  <c r="J155" i="1"/>
  <c r="J180" i="1"/>
  <c r="J156" i="1"/>
  <c r="J163" i="1"/>
  <c r="J170" i="1"/>
  <c r="J189" i="1"/>
  <c r="J178" i="1"/>
  <c r="J200" i="1"/>
  <c r="J154" i="1"/>
  <c r="J206" i="1"/>
  <c r="J205" i="1"/>
  <c r="J190" i="1"/>
  <c r="J174" i="1"/>
  <c r="J210" i="1"/>
  <c r="J165" i="1"/>
  <c r="J196" i="1"/>
  <c r="J167" i="1"/>
  <c r="J181" i="1"/>
  <c r="J202" i="1"/>
  <c r="J201" i="1"/>
  <c r="J184" i="1"/>
  <c r="J188" i="1"/>
  <c r="J219" i="1"/>
  <c r="J192" i="1"/>
  <c r="J239" i="1"/>
  <c r="J254" i="1"/>
  <c r="J217" i="1"/>
  <c r="J199" i="1"/>
  <c r="J248" i="1"/>
  <c r="J186" i="1"/>
  <c r="J215" i="1"/>
  <c r="J187" i="1"/>
  <c r="J195" i="1"/>
  <c r="J208" i="1"/>
  <c r="J221" i="1"/>
  <c r="J211" i="1"/>
  <c r="J220" i="1"/>
  <c r="J204" i="1"/>
  <c r="J231" i="1"/>
  <c r="J193" i="1"/>
  <c r="J212" i="1"/>
  <c r="J227" i="1"/>
  <c r="J236" i="1"/>
  <c r="J176" i="1"/>
  <c r="J207" i="1"/>
  <c r="J234" i="1"/>
  <c r="J238" i="1"/>
  <c r="J222" i="1"/>
  <c r="J244" i="1"/>
  <c r="J232" i="1"/>
  <c r="J226" i="1"/>
  <c r="J223" i="1"/>
  <c r="J214" i="1"/>
  <c r="J233" i="1"/>
  <c r="J247" i="1"/>
  <c r="J213" i="1"/>
  <c r="J243" i="1"/>
  <c r="J250" i="1"/>
  <c r="J251" i="1"/>
  <c r="J225" i="1"/>
  <c r="J260" i="1"/>
  <c r="J224" i="1"/>
  <c r="J262" i="1"/>
  <c r="J198" i="1"/>
  <c r="J246" i="1"/>
  <c r="J257" i="1"/>
  <c r="J265" i="1"/>
  <c r="J197" i="1"/>
  <c r="J209" i="1"/>
  <c r="J191" i="1"/>
  <c r="J218" i="1"/>
  <c r="J216" i="1"/>
  <c r="J264" i="1"/>
  <c r="J240" i="1"/>
  <c r="J237" i="1"/>
  <c r="J252" i="1"/>
  <c r="J194" i="1"/>
  <c r="J235" i="1"/>
  <c r="J228" i="1"/>
  <c r="J261" i="1"/>
  <c r="J253" i="1"/>
  <c r="J229" i="1"/>
  <c r="J245" i="1"/>
  <c r="J230" i="1"/>
  <c r="J266" i="1"/>
  <c r="J256" i="1"/>
  <c r="J258" i="1"/>
  <c r="J249" i="1"/>
  <c r="J269" i="1"/>
  <c r="J271" i="1"/>
  <c r="J203" i="1"/>
  <c r="J267" i="1"/>
  <c r="J241" i="1"/>
  <c r="J242" i="1"/>
  <c r="J270" i="1"/>
  <c r="J259" i="1"/>
  <c r="J255" i="1"/>
  <c r="J272" i="1"/>
  <c r="J273" i="1"/>
  <c r="J268" i="1"/>
  <c r="J276" i="1"/>
  <c r="J263" i="1"/>
  <c r="J275" i="1"/>
  <c r="J27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9661F1-FABC-B742-9EFE-9DF39B8DFCE7}" keepAlive="1" name="Query - master_season_df" description="Connection to the 'master_season_df' query in the workbook." type="5" refreshedVersion="0" background="1">
    <dbPr connection="Provider=Microsoft.Mashup.OleDb.1;Data Source=$Workbook$;Location=master_season_df;Extended Properties=&quot;&quot;" command="SELECT * FROM [master_season_df]"/>
  </connection>
</connections>
</file>

<file path=xl/sharedStrings.xml><?xml version="1.0" encoding="utf-8"?>
<sst xmlns="http://schemas.openxmlformats.org/spreadsheetml/2006/main" count="1163" uniqueCount="639">
  <si>
    <t>player_id</t>
  </si>
  <si>
    <t>player_display_name</t>
  </si>
  <si>
    <t>position</t>
  </si>
  <si>
    <t>draft_team</t>
  </si>
  <si>
    <t>position_rank_mean</t>
  </si>
  <si>
    <t>overall_raw_points_rank</t>
  </si>
  <si>
    <t>avg_adp</t>
  </si>
  <si>
    <t>position_adp</t>
  </si>
  <si>
    <t>Tier Score</t>
  </si>
  <si>
    <t>Tier</t>
  </si>
  <si>
    <t>expected_ppr_17</t>
  </si>
  <si>
    <t>expected_ppg</t>
  </si>
  <si>
    <t>downside_ppr_17</t>
  </si>
  <si>
    <t>median_ppr_17</t>
  </si>
  <si>
    <t>upside_ppr_17</t>
  </si>
  <si>
    <t>downside_ppg</t>
  </si>
  <si>
    <t>median_ppg</t>
  </si>
  <si>
    <t>upside_ppg</t>
  </si>
  <si>
    <t>position_rank_floor</t>
  </si>
  <si>
    <t>position_rank_median</t>
  </si>
  <si>
    <t>position_rank_ceiling</t>
  </si>
  <si>
    <t>projected_games_missed</t>
  </si>
  <si>
    <t>expected_games_played</t>
  </si>
  <si>
    <t>00-0039139</t>
  </si>
  <si>
    <t>Jahmyr Gibbs</t>
  </si>
  <si>
    <t>RB</t>
  </si>
  <si>
    <t>DET</t>
  </si>
  <si>
    <t>00-0038542</t>
  </si>
  <si>
    <t>Bijan Robinson</t>
  </si>
  <si>
    <t>ATL</t>
  </si>
  <si>
    <t>00-0036900</t>
  </si>
  <si>
    <t>Ja'Marr Chase</t>
  </si>
  <si>
    <t>WR</t>
  </si>
  <si>
    <t>CIN</t>
  </si>
  <si>
    <t>00-0039075</t>
  </si>
  <si>
    <t>Puka Nacua</t>
  </si>
  <si>
    <t>LA</t>
  </si>
  <si>
    <t>00-0038543</t>
  </si>
  <si>
    <t>Jaxon Smith-Njigba</t>
  </si>
  <si>
    <t>SEA</t>
  </si>
  <si>
    <t>00-0033280</t>
  </si>
  <si>
    <t>Christian McCaffrey</t>
  </si>
  <si>
    <t>SF</t>
  </si>
  <si>
    <t>00-0036223</t>
  </si>
  <si>
    <t>Jonathan Taylor</t>
  </si>
  <si>
    <t>IND</t>
  </si>
  <si>
    <t>00-0036963</t>
  </si>
  <si>
    <t>Amon-Ra St. Brown</t>
  </si>
  <si>
    <t>00-0036358</t>
  </si>
  <si>
    <t>CeeDee Lamb</t>
  </si>
  <si>
    <t>DAL</t>
  </si>
  <si>
    <t>00-0037248</t>
  </si>
  <si>
    <t>James Cook</t>
  </si>
  <si>
    <t>BUF</t>
  </si>
  <si>
    <t>00-0036322</t>
  </si>
  <si>
    <t>Justin Jefferson</t>
  </si>
  <si>
    <t>MIN</t>
  </si>
  <si>
    <t>00-0039040</t>
  </si>
  <si>
    <t>De'Von Achane</t>
  </si>
  <si>
    <t>MIA</t>
  </si>
  <si>
    <t>00-0034844</t>
  </si>
  <si>
    <t>Saquon Barkley</t>
  </si>
  <si>
    <t>PHI</t>
  </si>
  <si>
    <t>00-0040122</t>
  </si>
  <si>
    <t>Ashton Jeanty</t>
  </si>
  <si>
    <t>LV</t>
  </si>
  <si>
    <t>00-0037238</t>
  </si>
  <si>
    <t>Drake London</t>
  </si>
  <si>
    <t>00-0038597</t>
  </si>
  <si>
    <t>Chase Brown</t>
  </si>
  <si>
    <t>00-0038134</t>
  </si>
  <si>
    <t>Kenneth Walker III</t>
  </si>
  <si>
    <t>KC</t>
  </si>
  <si>
    <t>00-0035676</t>
  </si>
  <si>
    <t>A.J. Brown</t>
  </si>
  <si>
    <t>NE</t>
  </si>
  <si>
    <t>00-0040666</t>
  </si>
  <si>
    <t>Omarion Hampton</t>
  </si>
  <si>
    <t>LAC</t>
  </si>
  <si>
    <t>00-0032764</t>
  </si>
  <si>
    <t>Derrick Henry</t>
  </si>
  <si>
    <t>BAL</t>
  </si>
  <si>
    <t>00-0037744</t>
  </si>
  <si>
    <t>Trey McBride</t>
  </si>
  <si>
    <t>TE</t>
  </si>
  <si>
    <t>ARI</t>
  </si>
  <si>
    <t>00-0034857</t>
  </si>
  <si>
    <t>Josh Allen</t>
  </si>
  <si>
    <t>QB</t>
  </si>
  <si>
    <t>00-0036554</t>
  </si>
  <si>
    <t>Nico Collins</t>
  </si>
  <si>
    <t>HOU</t>
  </si>
  <si>
    <t>00-0039338</t>
  </si>
  <si>
    <t>Brock Bowers</t>
  </si>
  <si>
    <t>00-0037247</t>
  </si>
  <si>
    <t>George Pickens</t>
  </si>
  <si>
    <t>00-0039067</t>
  </si>
  <si>
    <t>Rashee Rice</t>
  </si>
  <si>
    <t>00-0037239</t>
  </si>
  <si>
    <t>Chris Olave</t>
  </si>
  <si>
    <t>NO</t>
  </si>
  <si>
    <t>00-0039337</t>
  </si>
  <si>
    <t>Malik Nabers</t>
  </si>
  <si>
    <t>NYG</t>
  </si>
  <si>
    <t>00-0038120</t>
  </si>
  <si>
    <t>Breece Hall</t>
  </si>
  <si>
    <t>NYJ</t>
  </si>
  <si>
    <t>00-0036912</t>
  </si>
  <si>
    <t>DeVonta Smith</t>
  </si>
  <si>
    <t>00-0036997</t>
  </si>
  <si>
    <t>Javonte Williams</t>
  </si>
  <si>
    <t>00-0037840</t>
  </si>
  <si>
    <t>Kyren Williams</t>
  </si>
  <si>
    <t>00-0039064</t>
  </si>
  <si>
    <t>Zay Flowers</t>
  </si>
  <si>
    <t>00-0037740</t>
  </si>
  <si>
    <t>Garrett Wilson</t>
  </si>
  <si>
    <t>00-0035700</t>
  </si>
  <si>
    <t>Josh Jacobs</t>
  </si>
  <si>
    <t>GB</t>
  </si>
  <si>
    <t>00-0036410</t>
  </si>
  <si>
    <t>Tee Higgins</t>
  </si>
  <si>
    <t>00-0034796</t>
  </si>
  <si>
    <t>Lamar Jackson</t>
  </si>
  <si>
    <t>00-0040124</t>
  </si>
  <si>
    <t>Tetairoa McMillan</t>
  </si>
  <si>
    <t>CAR</t>
  </si>
  <si>
    <t>00-0040126</t>
  </si>
  <si>
    <t>Colston Loveland</t>
  </si>
  <si>
    <t>CHI</t>
  </si>
  <si>
    <t>00-0036973</t>
  </si>
  <si>
    <t>Travis Etienne</t>
  </si>
  <si>
    <t>00-0040129</t>
  </si>
  <si>
    <t>Emeka Egbuka</t>
  </si>
  <si>
    <t>TB</t>
  </si>
  <si>
    <t>00-0039915</t>
  </si>
  <si>
    <t>Ladd McConkey</t>
  </si>
  <si>
    <t>00-0036613</t>
  </si>
  <si>
    <t>Jaylen Waddle</t>
  </si>
  <si>
    <t>DEN</t>
  </si>
  <si>
    <t>00-0031381</t>
  </si>
  <si>
    <t>Davante Adams</t>
  </si>
  <si>
    <t>00-0040128</t>
  </si>
  <si>
    <t>Tyler Warren</t>
  </si>
  <si>
    <t>00-0040715</t>
  </si>
  <si>
    <t>Cam Skattebo</t>
  </si>
  <si>
    <t>00-0039361</t>
  </si>
  <si>
    <t>Bucky Irving</t>
  </si>
  <si>
    <t>00-0039851</t>
  </si>
  <si>
    <t>Drake Maye</t>
  </si>
  <si>
    <t>00-0040735</t>
  </si>
  <si>
    <t>Luther Burden III</t>
  </si>
  <si>
    <t>00-0036275</t>
  </si>
  <si>
    <t>D'Andre Swift</t>
  </si>
  <si>
    <t>00-0035659</t>
  </si>
  <si>
    <t>Terry McLaurin</t>
  </si>
  <si>
    <t>WAS</t>
  </si>
  <si>
    <t>00-0040784</t>
  </si>
  <si>
    <t>Quinshon Judkins</t>
  </si>
  <si>
    <t>CLE</t>
  </si>
  <si>
    <t>00-0036442</t>
  </si>
  <si>
    <t>Joe Burrow</t>
  </si>
  <si>
    <t>00-0035685</t>
  </si>
  <si>
    <t>David Montgomery</t>
  </si>
  <si>
    <t>00-0034827</t>
  </si>
  <si>
    <t>DJ Moore</t>
  </si>
  <si>
    <t>00-0039910</t>
  </si>
  <si>
    <t>Jayden Daniels</t>
  </si>
  <si>
    <t>00-0036389</t>
  </si>
  <si>
    <t>Jalen Hurts</t>
  </si>
  <si>
    <t>00-0037240</t>
  </si>
  <si>
    <t>Jameson Williams</t>
  </si>
  <si>
    <t>00-0039919</t>
  </si>
  <si>
    <t>Rome Odunze</t>
  </si>
  <si>
    <t>00-0031408</t>
  </si>
  <si>
    <t>Mike Evans</t>
  </si>
  <si>
    <t>00-0040734</t>
  </si>
  <si>
    <t>TreVeyon Henderson</t>
  </si>
  <si>
    <t>00-0038124</t>
  </si>
  <si>
    <t>Christian Watson</t>
  </si>
  <si>
    <t>00-0040719</t>
  </si>
  <si>
    <t>Bhayshul Tuten</t>
  </si>
  <si>
    <t>JAX</t>
  </si>
  <si>
    <t>00-0039065</t>
  </si>
  <si>
    <t>Sam LaPorta</t>
  </si>
  <si>
    <t>00-0040663</t>
  </si>
  <si>
    <t>Harold Fannin Jr.</t>
  </si>
  <si>
    <t>00-0038996</t>
  </si>
  <si>
    <t>Tucker Kraft</t>
  </si>
  <si>
    <t>00-0036875</t>
  </si>
  <si>
    <t>Rhamondre Stevenson</t>
  </si>
  <si>
    <t>00-0036970</t>
  </si>
  <si>
    <t>Kyle Pitts</t>
  </si>
  <si>
    <t>00-0038606</t>
  </si>
  <si>
    <t>Parker Washington</t>
  </si>
  <si>
    <t>00-0039918</t>
  </si>
  <si>
    <t>Caleb Williams</t>
  </si>
  <si>
    <t>00-0037228</t>
  </si>
  <si>
    <t>Jaylen Warren</t>
  </si>
  <si>
    <t>PIT</t>
  </si>
  <si>
    <t>00-0033077</t>
  </si>
  <si>
    <t>Dak Prescott</t>
  </si>
  <si>
    <t>00-0035640</t>
  </si>
  <si>
    <t>DK Metcalf</t>
  </si>
  <si>
    <t>00-0039849</t>
  </si>
  <si>
    <t>Marvin Harrison Jr.</t>
  </si>
  <si>
    <t>00-0034348</t>
  </si>
  <si>
    <t>Courtland Sutton</t>
  </si>
  <si>
    <t>00-0036355</t>
  </si>
  <si>
    <t>Justin Herbert</t>
  </si>
  <si>
    <t>00-0040691</t>
  </si>
  <si>
    <t>Jaxson Dart</t>
  </si>
  <si>
    <t>00-0036971</t>
  </si>
  <si>
    <t>Trevor Lawrence</t>
  </si>
  <si>
    <t>00-0033288</t>
  </si>
  <si>
    <t>George Kittle</t>
  </si>
  <si>
    <t>00-0036139</t>
  </si>
  <si>
    <t>Rico Dowdle</t>
  </si>
  <si>
    <t>00-0035261</t>
  </si>
  <si>
    <t>Tony Pollard</t>
  </si>
  <si>
    <t>TEN</t>
  </si>
  <si>
    <t>00-0039893</t>
  </si>
  <si>
    <t>Brian Thomas Jr.</t>
  </si>
  <si>
    <t>00-0036252</t>
  </si>
  <si>
    <t>Michael Pittman</t>
  </si>
  <si>
    <t>00-0026498</t>
  </si>
  <si>
    <t>Matthew Stafford</t>
  </si>
  <si>
    <t>00-0036158</t>
  </si>
  <si>
    <t>J.K. Dobbins</t>
  </si>
  <si>
    <t>00-0036555</t>
  </si>
  <si>
    <t>Chuba Hubbard</t>
  </si>
  <si>
    <t>00-0039732</t>
  </si>
  <si>
    <t>Bo Nix</t>
  </si>
  <si>
    <t>00-0040730</t>
  </si>
  <si>
    <t>RJ Harvey</t>
  </si>
  <si>
    <t>00-0033873</t>
  </si>
  <si>
    <t>Patrick Mahomes</t>
  </si>
  <si>
    <t>00-0038559</t>
  </si>
  <si>
    <t>Michael Wilson</t>
  </si>
  <si>
    <t>00-0037834</t>
  </si>
  <si>
    <t>Brock Purdy</t>
  </si>
  <si>
    <t>00-0030506</t>
  </si>
  <si>
    <t>Travis Kelce</t>
  </si>
  <si>
    <t>00-0033921</t>
  </si>
  <si>
    <t>Chris Godwin Jr.</t>
  </si>
  <si>
    <t>00-0038994</t>
  </si>
  <si>
    <t>Jordan Addison</t>
  </si>
  <si>
    <t>00-0036919</t>
  </si>
  <si>
    <t>Kenny Gainwell</t>
  </si>
  <si>
    <t>00-0040236</t>
  </si>
  <si>
    <t>Kyle Monangai</t>
  </si>
  <si>
    <t>00-0039146</t>
  </si>
  <si>
    <t>Jayden Reed</t>
  </si>
  <si>
    <t>00-0037664</t>
  </si>
  <si>
    <t>Alec Pierce</t>
  </si>
  <si>
    <t>00-0038544</t>
  </si>
  <si>
    <t>Quentin Johnston</t>
  </si>
  <si>
    <t>00-0039738</t>
  </si>
  <si>
    <t>Blake Corum</t>
  </si>
  <si>
    <t>00-0040242</t>
  </si>
  <si>
    <t>Jacory Croskey-Merritt</t>
  </si>
  <si>
    <t>00-0038117</t>
  </si>
  <si>
    <t>Wan'Dale Robinson</t>
  </si>
  <si>
    <t>00-0038997</t>
  </si>
  <si>
    <t>Josh Downs</t>
  </si>
  <si>
    <t>00-0037525</t>
  </si>
  <si>
    <t>Jordan Mason</t>
  </si>
  <si>
    <t>00-0033106</t>
  </si>
  <si>
    <t>Jared Goff</t>
  </si>
  <si>
    <t>00-0037256</t>
  </si>
  <si>
    <t>Rachaad White</t>
  </si>
  <si>
    <t>00-0033293</t>
  </si>
  <si>
    <t>Aaron Jones</t>
  </si>
  <si>
    <t>00-0040667</t>
  </si>
  <si>
    <t>Matthew Golden</t>
  </si>
  <si>
    <t>00-0038933</t>
  </si>
  <si>
    <t>Dalton Kincaid</t>
  </si>
  <si>
    <t>00-0035228</t>
  </si>
  <si>
    <t>Kyler Murray</t>
  </si>
  <si>
    <t>00-0038041</t>
  </si>
  <si>
    <t>Jake Ferguson</t>
  </si>
  <si>
    <t>00-0039894</t>
  </si>
  <si>
    <t>Xavier Worthy</t>
  </si>
  <si>
    <t>00-0034351</t>
  </si>
  <si>
    <t>Dallas Goedert</t>
  </si>
  <si>
    <t>00-0034855</t>
  </si>
  <si>
    <t>Baker Mayfield</t>
  </si>
  <si>
    <t>00-0037816</t>
  </si>
  <si>
    <t>Romeo Doubs</t>
  </si>
  <si>
    <t>00-0036264</t>
  </si>
  <si>
    <t>Jordan Love</t>
  </si>
  <si>
    <t>00-0034753</t>
  </si>
  <si>
    <t>Mark Andrews</t>
  </si>
  <si>
    <t>00-0040583</t>
  </si>
  <si>
    <t>Woody Marks</t>
  </si>
  <si>
    <t>00-0037261</t>
  </si>
  <si>
    <t>Khalil Shakir</t>
  </si>
  <si>
    <t>00-0039032</t>
  </si>
  <si>
    <t>Tyjae Spears</t>
  </si>
  <si>
    <t>00-0039165</t>
  </si>
  <si>
    <t>Zach Charbonnet</t>
  </si>
  <si>
    <t>00-0040743</t>
  </si>
  <si>
    <t>Tyler Shough</t>
  </si>
  <si>
    <t>00-0038611</t>
  </si>
  <si>
    <t>Chris Rodriguez Jr.</t>
  </si>
  <si>
    <t>00-0037263</t>
  </si>
  <si>
    <t>Tyler Allgeier</t>
  </si>
  <si>
    <t>00-0038128</t>
  </si>
  <si>
    <t>Malik Willis</t>
  </si>
  <si>
    <t>00-0039491</t>
  </si>
  <si>
    <t>Jalen Coker</t>
  </si>
  <si>
    <t>00-0035710</t>
  </si>
  <si>
    <t>Daniel Jones</t>
  </si>
  <si>
    <t>00-0033906</t>
  </si>
  <si>
    <t>Alvin Kamara</t>
  </si>
  <si>
    <t>00-0037746</t>
  </si>
  <si>
    <t>Brian Robinson</t>
  </si>
  <si>
    <t>00-0038454</t>
  </si>
  <si>
    <t>Keaton Mitchell</t>
  </si>
  <si>
    <t>00-0033090</t>
  </si>
  <si>
    <t>Hunter Henry</t>
  </si>
  <si>
    <t>00-0040162</t>
  </si>
  <si>
    <t>Dylan Sampson</t>
  </si>
  <si>
    <t>00-0037197</t>
  </si>
  <si>
    <t>Isiah Pacheco</t>
  </si>
  <si>
    <t>00-0038935</t>
  </si>
  <si>
    <t>Brenton Strange</t>
  </si>
  <si>
    <t>00-0034869</t>
  </si>
  <si>
    <t>Sam Darnold</t>
  </si>
  <si>
    <t>00-0039384</t>
  </si>
  <si>
    <t>Tyrone Tracy Jr.</t>
  </si>
  <si>
    <t>00-0039163</t>
  </si>
  <si>
    <t>C.J. Stroud</t>
  </si>
  <si>
    <t>00-0036040</t>
  </si>
  <si>
    <t>Juwan Johnson</t>
  </si>
  <si>
    <t>00-0035229</t>
  </si>
  <si>
    <t>T.J. Hockenson</t>
  </si>
  <si>
    <t>00-0039855</t>
  </si>
  <si>
    <t>Jalen McMillan</t>
  </si>
  <si>
    <t>00-0038563</t>
  </si>
  <si>
    <t>Tre Tucker</t>
  </si>
  <si>
    <t>00-0039150</t>
  </si>
  <si>
    <t>Bryce Young</t>
  </si>
  <si>
    <t>00-0036407</t>
  </si>
  <si>
    <t>Jerry Jeudy</t>
  </si>
  <si>
    <t>00-0039794</t>
  </si>
  <si>
    <t>Braelon Allen</t>
  </si>
  <si>
    <t>00-0034383</t>
  </si>
  <si>
    <t>Dalton Schultz</t>
  </si>
  <si>
    <t>00-0040586</t>
  </si>
  <si>
    <t>Jaydon Blue</t>
  </si>
  <si>
    <t>00-0030565</t>
  </si>
  <si>
    <t>Geno Smith</t>
  </si>
  <si>
    <t>00-0034975</t>
  </si>
  <si>
    <t>Justice Hill</t>
  </si>
  <si>
    <t>00-0037291</t>
  </si>
  <si>
    <t>Jalen Nailor</t>
  </si>
  <si>
    <t>00-0023459</t>
  </si>
  <si>
    <t>Aaron Rodgers</t>
  </si>
  <si>
    <t>00-0033119</t>
  </si>
  <si>
    <t>Jacoby Brissett</t>
  </si>
  <si>
    <t>00-0036259</t>
  </si>
  <si>
    <t>Jauan Jennings</t>
  </si>
  <si>
    <t>00-0034837</t>
  </si>
  <si>
    <t>Calvin Ridley</t>
  </si>
  <si>
    <t>00-0033553</t>
  </si>
  <si>
    <t>James Conner</t>
  </si>
  <si>
    <t>00-0039391</t>
  </si>
  <si>
    <t>Kimani Vidal</t>
  </si>
  <si>
    <t>00-0039875</t>
  </si>
  <si>
    <t>Ray Davis</t>
  </si>
  <si>
    <t>00-0039798</t>
  </si>
  <si>
    <t>Isaiah Davis</t>
  </si>
  <si>
    <t>00-0033526</t>
  </si>
  <si>
    <t>Samaje Perine</t>
  </si>
  <si>
    <t>00-0038608</t>
  </si>
  <si>
    <t>Kayshon Boutte</t>
  </si>
  <si>
    <t>00-0038951</t>
  </si>
  <si>
    <t>Sean Tucker</t>
  </si>
  <si>
    <t>00-0040138</t>
  </si>
  <si>
    <t>Jaylin Noel</t>
  </si>
  <si>
    <t>00-0035537</t>
  </si>
  <si>
    <t>Ty Johnson</t>
  </si>
  <si>
    <t>00-0038551</t>
  </si>
  <si>
    <t>Kendre Miller</t>
  </si>
  <si>
    <t>00-0039793</t>
  </si>
  <si>
    <t>AJ Barner</t>
  </si>
  <si>
    <t>00-0040134</t>
  </si>
  <si>
    <t>Pat Bryant</t>
  </si>
  <si>
    <t>00-0039880</t>
  </si>
  <si>
    <t>Malik Washington</t>
  </si>
  <si>
    <t>00-0040189</t>
  </si>
  <si>
    <t>Oronde Gadsden II</t>
  </si>
  <si>
    <t>00-0040078</t>
  </si>
  <si>
    <t>Brashard Smith</t>
  </si>
  <si>
    <t>00-0039874</t>
  </si>
  <si>
    <t>Jaylen Wright</t>
  </si>
  <si>
    <t>00-0040727</t>
  </si>
  <si>
    <t>Tre Harris</t>
  </si>
  <si>
    <t>00-0035250</t>
  </si>
  <si>
    <t>Devin Singletary</t>
  </si>
  <si>
    <t>00-0038797</t>
  </si>
  <si>
    <t>Emanuel Wilson</t>
  </si>
  <si>
    <t>00-0039917</t>
  </si>
  <si>
    <t>Michael Penix Jr.</t>
  </si>
  <si>
    <t>00-0038129</t>
  </si>
  <si>
    <t>Cade Otton</t>
  </si>
  <si>
    <t>00-0039921</t>
  </si>
  <si>
    <t>Trey Benson</t>
  </si>
  <si>
    <t>00-0039410</t>
  </si>
  <si>
    <t>Ryan Flournoy</t>
  </si>
  <si>
    <t>00-0040142</t>
  </si>
  <si>
    <t>Kaleb Johnson</t>
  </si>
  <si>
    <t>00-0036550</t>
  </si>
  <si>
    <t>Rashod Bateman</t>
  </si>
  <si>
    <t>00-0039424</t>
  </si>
  <si>
    <t>Devaughn Vele</t>
  </si>
  <si>
    <t>00-0036894</t>
  </si>
  <si>
    <t>Pat Freiermuth</t>
  </si>
  <si>
    <t>00-0040198</t>
  </si>
  <si>
    <t>Ollie Gordon II</t>
  </si>
  <si>
    <t>00-0033908</t>
  </si>
  <si>
    <t>Cooper Kupp</t>
  </si>
  <si>
    <t>00-0040202</t>
  </si>
  <si>
    <t>Devin Neal</t>
  </si>
  <si>
    <t>00-0040584</t>
  </si>
  <si>
    <t>Gunnar Helm</t>
  </si>
  <si>
    <t>00-0040668</t>
  </si>
  <si>
    <t>Shedeur Sanders</t>
  </si>
  <si>
    <t>00-0037252</t>
  </si>
  <si>
    <t>Greg Dulcich</t>
  </si>
  <si>
    <t>00-0036212</t>
  </si>
  <si>
    <t>Tua Tagovailoa</t>
  </si>
  <si>
    <t>00-0038393</t>
  </si>
  <si>
    <t>Dontayvion Wicks</t>
  </si>
  <si>
    <t>00-0040669</t>
  </si>
  <si>
    <t>Isaac TeSlaa</t>
  </si>
  <si>
    <t>00-0033955</t>
  </si>
  <si>
    <t>Jeremy McNichols</t>
  </si>
  <si>
    <t>00-0040131</t>
  </si>
  <si>
    <t>Kyle Williams</t>
  </si>
  <si>
    <t>00-0038705</t>
  </si>
  <si>
    <t>Emari Demercado</t>
  </si>
  <si>
    <t>00-0040021</t>
  </si>
  <si>
    <t>Phil Mafah</t>
  </si>
  <si>
    <t>00-0040729</t>
  </si>
  <si>
    <t>Jack Bech</t>
  </si>
  <si>
    <t>00-0039901</t>
  </si>
  <si>
    <t>Keon Coleman</t>
  </si>
  <si>
    <t>00-0040644</t>
  </si>
  <si>
    <t>Trevor Etienne</t>
  </si>
  <si>
    <t>00-0040466</t>
  </si>
  <si>
    <t>Raheim Sanders</t>
  </si>
  <si>
    <t>00-0033885</t>
  </si>
  <si>
    <t>David Njoku</t>
  </si>
  <si>
    <t>00-0036244</t>
  </si>
  <si>
    <t>Colby Parkinson</t>
  </si>
  <si>
    <t>00-0038976</t>
  </si>
  <si>
    <t>Marvin Mims Jr.</t>
  </si>
  <si>
    <t>00-0040648</t>
  </si>
  <si>
    <t>Tory Horton</t>
  </si>
  <si>
    <t>00-0039868</t>
  </si>
  <si>
    <t>Troy Franklin</t>
  </si>
  <si>
    <t>00-0040170</t>
  </si>
  <si>
    <t>Elic Ayomanor</t>
  </si>
  <si>
    <t>00-0034775</t>
  </si>
  <si>
    <t>Christian Kirk</t>
  </si>
  <si>
    <t>00-0040705</t>
  </si>
  <si>
    <t>Chimere Dike</t>
  </si>
  <si>
    <t>00-0039847</t>
  </si>
  <si>
    <t>Theo Johnson</t>
  </si>
  <si>
    <t>00-0036309</t>
  </si>
  <si>
    <t>Darnell Mooney</t>
  </si>
  <si>
    <t>00-0040736</t>
  </si>
  <si>
    <t>Mason Taylor</t>
  </si>
  <si>
    <t>00-0039923</t>
  </si>
  <si>
    <t>J.J. McCarthy</t>
  </si>
  <si>
    <t>00-0032268</t>
  </si>
  <si>
    <t>Marcus Mariota</t>
  </si>
  <si>
    <t>00-0040676</t>
  </si>
  <si>
    <t>Cam Ward</t>
  </si>
  <si>
    <t>00-0032950</t>
  </si>
  <si>
    <t>Carson Wentz</t>
  </si>
  <si>
    <t>00-0036945</t>
  </si>
  <si>
    <t>Justin Fields</t>
  </si>
  <si>
    <t>00-0036972</t>
  </si>
  <si>
    <t>Mac Jones</t>
  </si>
  <si>
    <t>00-0039376</t>
  </si>
  <si>
    <t>Spencer Rattler</t>
  </si>
  <si>
    <t>00-0039916</t>
  </si>
  <si>
    <t>Ricky Pearsall</t>
  </si>
  <si>
    <t>00-0039164</t>
  </si>
  <si>
    <t>Anthony Richardson</t>
  </si>
  <si>
    <t>00-0040704</t>
  </si>
  <si>
    <t>Dillon Gabriel</t>
  </si>
  <si>
    <t>00-0029604</t>
  </si>
  <si>
    <t>Kirk Cousins</t>
  </si>
  <si>
    <t>00-0036898</t>
  </si>
  <si>
    <t>Davis Mills</t>
  </si>
  <si>
    <t>00-0037012</t>
  </si>
  <si>
    <t>Trey Lance</t>
  </si>
  <si>
    <t>00-0031503</t>
  </si>
  <si>
    <t>Jameis Winston</t>
  </si>
  <si>
    <t>00-0033869</t>
  </si>
  <si>
    <t>Mitchell Trubisky</t>
  </si>
  <si>
    <t>00-0040130</t>
  </si>
  <si>
    <t>Jayden Higgins</t>
  </si>
  <si>
    <t>00-0037013</t>
  </si>
  <si>
    <t>Zach Wilson</t>
  </si>
  <si>
    <t>00-0035704</t>
  </si>
  <si>
    <t>Drew Lock</t>
  </si>
  <si>
    <t>00-0038621</t>
  </si>
  <si>
    <t>DeMario Douglas</t>
  </si>
  <si>
    <t>00-0027973</t>
  </si>
  <si>
    <t>Andy Dalton</t>
  </si>
  <si>
    <t>00-0035993</t>
  </si>
  <si>
    <t>Tyler Huntley</t>
  </si>
  <si>
    <t>00-0039373</t>
  </si>
  <si>
    <t>Audric Estimé</t>
  </si>
  <si>
    <t>00-0039342</t>
  </si>
  <si>
    <t>Xavier Legette</t>
  </si>
  <si>
    <t>00-0036924</t>
  </si>
  <si>
    <t>Michael Carter</t>
  </si>
  <si>
    <t>00-0033555</t>
  </si>
  <si>
    <t>Mack Hollins</t>
  </si>
  <si>
    <t>00-0035662</t>
  </si>
  <si>
    <t>Marquise Brown</t>
  </si>
  <si>
    <t>00-0035535</t>
  </si>
  <si>
    <t>Darius Slayton</t>
  </si>
  <si>
    <t>00-0037157</t>
  </si>
  <si>
    <t>Bam Knight</t>
  </si>
  <si>
    <t>00-0038619</t>
  </si>
  <si>
    <t>Andrei Iosivas</t>
  </si>
  <si>
    <t>00-0040237</t>
  </si>
  <si>
    <t>Tez Johnson</t>
  </si>
  <si>
    <t>00-0039066</t>
  </si>
  <si>
    <t>Michael Mayer</t>
  </si>
  <si>
    <t>00-0040311</t>
  </si>
  <si>
    <t>Theo Wease Jr.</t>
  </si>
  <si>
    <t>00-0038979</t>
  </si>
  <si>
    <t>Cedric Tillman</t>
  </si>
  <si>
    <t>00-0036988</t>
  </si>
  <si>
    <t>Josh Palmer</t>
  </si>
  <si>
    <t>00-0037837</t>
  </si>
  <si>
    <t>Calvin Austin III</t>
  </si>
  <si>
    <t>00-0038104</t>
  </si>
  <si>
    <t>Tyquan Thornton</t>
  </si>
  <si>
    <t>00-0038618</t>
  </si>
  <si>
    <t>Xavier Hutchinson</t>
  </si>
  <si>
    <t>00-0035208</t>
  </si>
  <si>
    <t>Olamide Zaccheaus</t>
  </si>
  <si>
    <t>00-0039405</t>
  </si>
  <si>
    <t>Jawhar Jordan</t>
  </si>
  <si>
    <t>00-0040782</t>
  </si>
  <si>
    <t>Isaiah Bond</t>
  </si>
  <si>
    <t>00-0038679</t>
  </si>
  <si>
    <t>Tyrell Shavers</t>
  </si>
  <si>
    <t>00-0037666</t>
  </si>
  <si>
    <t>Jalen Tolbert</t>
  </si>
  <si>
    <t>00-0037801</t>
  </si>
  <si>
    <t>KaVontae Turpin</t>
  </si>
  <si>
    <t>00-0033307</t>
  </si>
  <si>
    <t>Kendrick Bourne</t>
  </si>
  <si>
    <t>00-0036626</t>
  </si>
  <si>
    <t>Dyami Brown</t>
  </si>
  <si>
    <t>00-0036415</t>
  </si>
  <si>
    <t>Van Jefferson</t>
  </si>
  <si>
    <t>00-0032775</t>
  </si>
  <si>
    <t>Demarcus Robinson</t>
  </si>
  <si>
    <t>00-0038794</t>
  </si>
  <si>
    <t>Jaleel McLaughlin</t>
  </si>
  <si>
    <t>00-0039451</t>
  </si>
  <si>
    <t>Isaiah Williams</t>
  </si>
  <si>
    <t>00-0039739</t>
  </si>
  <si>
    <t>Roman Wilson</t>
  </si>
  <si>
    <t>00-0040164</t>
  </si>
  <si>
    <t>Jaylin Lane</t>
  </si>
  <si>
    <t>00-0040581</t>
  </si>
  <si>
    <t>Dont'e Thornton Jr.</t>
  </si>
  <si>
    <t>00-0037741</t>
  </si>
  <si>
    <t>Jahan Dotson</t>
  </si>
  <si>
    <t>00-0037563</t>
  </si>
  <si>
    <t>Malik Davis</t>
  </si>
  <si>
    <t>00-0040547</t>
  </si>
  <si>
    <t>Nate Carter</t>
  </si>
  <si>
    <t>00-0037329</t>
  </si>
  <si>
    <t>Brittain Brown</t>
  </si>
  <si>
    <t>00-0040556</t>
  </si>
  <si>
    <t>Corey Kiner</t>
  </si>
  <si>
    <t>00-0040179</t>
  </si>
  <si>
    <t>DJ Giddens</t>
  </si>
  <si>
    <t>00-0040067</t>
  </si>
  <si>
    <t>Jacardia Wright</t>
  </si>
  <si>
    <t>00-0036755</t>
  </si>
  <si>
    <t>Jaret Patterson</t>
  </si>
  <si>
    <t>00-0040238</t>
  </si>
  <si>
    <t>LeQuint Allen Jr.</t>
  </si>
  <si>
    <t>00-0038440</t>
  </si>
  <si>
    <t>Zavier Scott</t>
  </si>
  <si>
    <t>00-0037267</t>
  </si>
  <si>
    <t>Jerome Ford</t>
  </si>
  <si>
    <t>00-0040039</t>
  </si>
  <si>
    <t>Amar Johnson</t>
  </si>
  <si>
    <t>00-0039021</t>
  </si>
  <si>
    <t>Roschon Johnson</t>
  </si>
  <si>
    <t>00-0039757</t>
  </si>
  <si>
    <t>Terrell Jennings</t>
  </si>
  <si>
    <t>00-0038685</t>
  </si>
  <si>
    <t>Chris Brooks</t>
  </si>
  <si>
    <t>Column1</t>
  </si>
  <si>
    <t>Pick Round</t>
  </si>
  <si>
    <t>Pick Numb</t>
  </si>
  <si>
    <t>Player</t>
  </si>
  <si>
    <t>Position</t>
  </si>
  <si>
    <t>QB1</t>
  </si>
  <si>
    <t>QB2</t>
  </si>
  <si>
    <t>RB1</t>
  </si>
  <si>
    <t>RB2</t>
  </si>
  <si>
    <t>RB3</t>
  </si>
  <si>
    <t>RB4</t>
  </si>
  <si>
    <t>WR1</t>
  </si>
  <si>
    <t>WR2</t>
  </si>
  <si>
    <t>WR3</t>
  </si>
  <si>
    <t>WR4</t>
  </si>
  <si>
    <t>TE1</t>
  </si>
  <si>
    <t>TE2</t>
  </si>
  <si>
    <t>DEF</t>
  </si>
  <si>
    <t>K</t>
  </si>
  <si>
    <t>Roster</t>
  </si>
  <si>
    <t>median_value_gap</t>
  </si>
  <si>
    <t>Rashee rice</t>
  </si>
  <si>
    <t>Dandre Swift</t>
  </si>
  <si>
    <t>Henderson</t>
  </si>
  <si>
    <t>Jameseon Williams</t>
  </si>
  <si>
    <t xml:space="preserve">RB 5 </t>
  </si>
  <si>
    <t>WR5</t>
  </si>
  <si>
    <t>Zach Charbonet</t>
  </si>
  <si>
    <t>RB6</t>
  </si>
  <si>
    <t>Jason Myers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</si>
</sst>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Display"/>
      <scheme val="major"/>
    </font>
    <font>
      <b/>
      <sz val="36"/>
      <color theme="1"/>
      <name val="Aptos Display"/>
      <scheme val="maj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2" borderId="0" xfId="0" applyFill="1"/>
    <xf numFmtId="1" fontId="0" fillId="2" borderId="0" xfId="0" applyNumberFormat="1" applyFill="1"/>
    <xf numFmtId="164" fontId="0" fillId="2" borderId="0" xfId="0" applyNumberFormat="1" applyFill="1"/>
    <xf numFmtId="2" fontId="0" fillId="2" borderId="0" xfId="0" applyNumberFormat="1" applyFill="1"/>
    <xf numFmtId="0" fontId="0" fillId="3" borderId="0" xfId="0" applyFill="1"/>
    <xf numFmtId="1" fontId="0" fillId="3" borderId="0" xfId="0" applyNumberFormat="1" applyFill="1"/>
    <xf numFmtId="164" fontId="0" fillId="3" borderId="0" xfId="0" applyNumberFormat="1" applyFill="1"/>
    <xf numFmtId="2" fontId="0" fillId="3" borderId="0" xfId="0" applyNumberFormat="1" applyFill="1"/>
    <xf numFmtId="0" fontId="1" fillId="0" borderId="0" xfId="0" applyFont="1"/>
    <xf numFmtId="0" fontId="1" fillId="4" borderId="1" xfId="0" applyFont="1" applyFill="1" applyBorder="1"/>
    <xf numFmtId="0" fontId="1" fillId="6" borderId="1" xfId="0" applyFont="1" applyFill="1" applyBorder="1"/>
    <xf numFmtId="0" fontId="1" fillId="0" borderId="1" xfId="0" applyFont="1" applyBorder="1"/>
    <xf numFmtId="0" fontId="1" fillId="6" borderId="2" xfId="0" applyFont="1" applyFill="1" applyBorder="1"/>
    <xf numFmtId="0" fontId="1" fillId="6" borderId="3" xfId="0" applyFont="1" applyFill="1" applyBorder="1"/>
    <xf numFmtId="0" fontId="1" fillId="0" borderId="2" xfId="0" applyFont="1" applyBorder="1"/>
    <xf numFmtId="0" fontId="1" fillId="0" borderId="3" xfId="0" applyFont="1" applyBorder="1"/>
    <xf numFmtId="0" fontId="1" fillId="4" borderId="2" xfId="0" applyFont="1" applyFill="1" applyBorder="1"/>
    <xf numFmtId="0" fontId="1" fillId="4" borderId="3" xfId="0" applyFont="1" applyFill="1" applyBorder="1"/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BEC997-19B2-684C-A12A-B48F7796A863}" name="draft_board" displayName="draft_board" ref="A1:Y276" totalsRowShown="0" headerRowDxfId="19">
  <autoFilter ref="A1:Y276" xr:uid="{BFBEC997-19B2-684C-A12A-B48F7796A863}">
    <filterColumn colId="2">
      <filters>
        <filter val="QB"/>
      </filters>
    </filterColumn>
  </autoFilter>
  <sortState xmlns:xlrd2="http://schemas.microsoft.com/office/spreadsheetml/2017/richdata2" ref="A4:Y140">
    <sortCondition descending="1" ref="V1:V276"/>
  </sortState>
  <tableColumns count="25">
    <tableColumn id="1" xr3:uid="{7A6A3F55-DED3-BA40-A811-A76B65786A88}" name="player_id"/>
    <tableColumn id="2" xr3:uid="{891A53A4-A694-A24E-BBAB-6F46C3D40A6F}" name="player_display_name"/>
    <tableColumn id="3" xr3:uid="{76F19211-D93D-A946-98A5-4159247F6497}" name="position"/>
    <tableColumn id="4" xr3:uid="{1DB25B66-83AE-684E-9C74-6F5A8C66996A}" name="draft_team"/>
    <tableColumn id="7" xr3:uid="{FE0BB662-25F6-974E-BE34-BB035304A932}" name="avg_adp" dataDxfId="18"/>
    <tableColumn id="11" xr3:uid="{D481ECD5-39FA-F946-BCAF-2EAAC055AF13}" name="Tier"/>
    <tableColumn id="8" xr3:uid="{A64B39D2-6C45-4F4B-9645-F6753441786F}" name="position_adp" dataDxfId="17"/>
    <tableColumn id="5" xr3:uid="{0A8E1BC1-EFBF-5542-868B-FF0D1FF45997}" name="position_rank_mean" dataDxfId="16"/>
    <tableColumn id="21" xr3:uid="{81A996E6-D5A4-D347-97DA-9270E3D227A7}" name="position_rank_median" dataDxfId="15"/>
    <tableColumn id="9" xr3:uid="{A3A1C2C5-49E0-A743-8B6A-5D65C6070D5A}" name="median_value_gap" dataDxfId="14">
      <calculatedColumnFormula>I2-G2</calculatedColumnFormula>
    </tableColumn>
    <tableColumn id="17" xr3:uid="{603B1CE0-B18E-2F40-AA2F-1410790CF9B0}" name="downside_ppg" dataDxfId="13"/>
    <tableColumn id="18" xr3:uid="{1ABC0BEF-A7B3-544E-A937-8F5EC65F8583}" name="median_ppg" dataDxfId="12"/>
    <tableColumn id="19" xr3:uid="{F6B0902F-03DA-8F45-8E07-237D93B793E2}" name="upside_ppg" dataDxfId="11"/>
    <tableColumn id="13" xr3:uid="{991BD8B2-DE92-024E-B2BE-AC0993788F1B}" name="expected_ppg" dataDxfId="10"/>
    <tableColumn id="14" xr3:uid="{8DD03C6E-1840-1A49-A223-599D0F0E8873}" name="downside_ppr_17" dataDxfId="9"/>
    <tableColumn id="15" xr3:uid="{01E3EAF7-6855-7642-B05B-9D409736BB77}" name="median_ppr_17" dataDxfId="8"/>
    <tableColumn id="16" xr3:uid="{8AC3864A-0A69-CC4B-8D44-369FF788B25C}" name="upside_ppr_17" dataDxfId="7"/>
    <tableColumn id="12" xr3:uid="{470AFC87-DB52-9B4A-8FE9-B308B9885710}" name="expected_ppr_17" dataDxfId="6"/>
    <tableColumn id="20" xr3:uid="{214E018A-54DE-AA4A-B24B-86BF2E6CC7D8}" name="position_rank_floor" dataDxfId="5"/>
    <tableColumn id="22" xr3:uid="{048ACAB0-588C-4446-802F-61B18B810F16}" name="position_rank_ceiling" dataDxfId="4"/>
    <tableColumn id="6" xr3:uid="{B36D014D-90B1-F043-A483-EB450A31DF4E}" name="overall_raw_points_rank" dataDxfId="3"/>
    <tableColumn id="10" xr3:uid="{CDE6C6C7-35A6-AF49-BF17-66D5C92983D1}" name="Tier Score"/>
    <tableColumn id="23" xr3:uid="{A8F96581-04B7-6742-AC34-C56CB9756B5B}" name="projected_games_missed"/>
    <tableColumn id="25" xr3:uid="{D9B36271-B62F-D043-B78E-194E8EB620E8}" name="Column1" dataDxfId="2">
      <calculatedColumnFormula>draft_board[[#This Row],[expected_ppg]]-draft_board[[#This Row],[median_ppg]]</calculatedColumnFormula>
    </tableColumn>
    <tableColumn id="24" xr3:uid="{486753A4-E492-E348-868D-26DC5100F2CF}" name="expected_games_played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731D4-7191-DA42-8BB6-884EF6BD3305}">
  <dimension ref="A1:AO276"/>
  <sheetViews>
    <sheetView tabSelected="1" topLeftCell="H1" zoomScale="99" workbookViewId="0">
      <selection activeCell="V10" sqref="V10"/>
    </sheetView>
  </sheetViews>
  <sheetFormatPr baseColWidth="10" defaultRowHeight="16" x14ac:dyDescent="0.2"/>
  <cols>
    <col min="2" max="2" width="20.6640625" customWidth="1"/>
    <col min="4" max="4" width="12.6640625" customWidth="1"/>
    <col min="5" max="5" width="10.83203125" style="1"/>
    <col min="7" max="7" width="23.33203125" style="1" customWidth="1"/>
    <col min="8" max="8" width="20.1640625" style="1" customWidth="1"/>
    <col min="9" max="9" width="21.6640625" style="1" customWidth="1"/>
    <col min="10" max="10" width="26" bestFit="1" customWidth="1"/>
    <col min="11" max="11" width="16" style="2" customWidth="1"/>
    <col min="12" max="12" width="15.33203125" style="2" customWidth="1"/>
    <col min="13" max="13" width="15.1640625" style="2" customWidth="1"/>
    <col min="14" max="14" width="15" bestFit="1" customWidth="1"/>
    <col min="15" max="15" width="17.83203125" bestFit="1" customWidth="1"/>
    <col min="16" max="16" width="16.1640625" bestFit="1" customWidth="1"/>
    <col min="17" max="17" width="15.5" style="2" bestFit="1" customWidth="1"/>
    <col min="18" max="18" width="14.83203125" style="2" customWidth="1"/>
    <col min="20" max="20" width="25.6640625" bestFit="1" customWidth="1"/>
    <col min="21" max="21" width="19.6640625" bestFit="1" customWidth="1"/>
    <col min="22" max="22" width="25.6640625" style="1" bestFit="1" customWidth="1"/>
    <col min="23" max="23" width="17.5" bestFit="1" customWidth="1"/>
    <col min="28" max="28" width="25.1640625" style="1" customWidth="1"/>
    <col min="33" max="33" width="17.6640625" style="2" customWidth="1"/>
    <col min="37" max="37" width="13.5" style="2" customWidth="1"/>
    <col min="38" max="38" width="12.83203125" style="2" customWidth="1"/>
    <col min="39" max="39" width="19.33203125" style="1" customWidth="1"/>
    <col min="41" max="41" width="21" style="1" customWidth="1"/>
    <col min="42" max="42" width="24.83203125" customWidth="1"/>
    <col min="43" max="43" width="23.6640625" customWidth="1"/>
  </cols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s="1" t="s">
        <v>6</v>
      </c>
      <c r="F1" t="s">
        <v>9</v>
      </c>
      <c r="G1" s="1" t="s">
        <v>7</v>
      </c>
      <c r="H1" s="1" t="s">
        <v>4</v>
      </c>
      <c r="I1" s="1" t="s">
        <v>19</v>
      </c>
      <c r="J1" s="1" t="s">
        <v>629</v>
      </c>
      <c r="K1" s="2" t="s">
        <v>15</v>
      </c>
      <c r="L1" s="2" t="s">
        <v>16</v>
      </c>
      <c r="M1" s="2" t="s">
        <v>17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10</v>
      </c>
      <c r="S1" s="1" t="s">
        <v>18</v>
      </c>
      <c r="T1" s="1" t="s">
        <v>20</v>
      </c>
      <c r="U1" s="1" t="s">
        <v>5</v>
      </c>
      <c r="V1" t="s">
        <v>8</v>
      </c>
      <c r="W1" t="s">
        <v>21</v>
      </c>
      <c r="X1" t="s">
        <v>609</v>
      </c>
      <c r="Y1" t="s">
        <v>22</v>
      </c>
      <c r="AB1"/>
      <c r="AG1"/>
      <c r="AK1"/>
      <c r="AL1"/>
      <c r="AM1"/>
      <c r="AO1"/>
    </row>
    <row r="2" spans="1:41" hidden="1" x14ac:dyDescent="0.2">
      <c r="A2" t="s">
        <v>27</v>
      </c>
      <c r="B2" t="s">
        <v>28</v>
      </c>
      <c r="C2" t="s">
        <v>25</v>
      </c>
      <c r="D2" t="s">
        <v>29</v>
      </c>
      <c r="E2" s="3">
        <v>2.5</v>
      </c>
      <c r="F2">
        <v>1</v>
      </c>
      <c r="G2" s="1">
        <v>2</v>
      </c>
      <c r="H2" s="1">
        <v>1</v>
      </c>
      <c r="I2" s="1">
        <v>1</v>
      </c>
      <c r="J2" s="1">
        <f t="shared" ref="J2:J65" si="0">I2-G2</f>
        <v>-1</v>
      </c>
      <c r="K2" s="2">
        <v>12.630660113166361</v>
      </c>
      <c r="L2" s="2">
        <v>17.727555218864889</v>
      </c>
      <c r="M2" s="2">
        <v>25.096957936006433</v>
      </c>
      <c r="N2" s="2">
        <v>19.056905338361279</v>
      </c>
      <c r="O2" s="2">
        <v>214.72122192382812</v>
      </c>
      <c r="P2" s="2">
        <v>301.36843872070312</v>
      </c>
      <c r="Q2" s="2">
        <v>426.64828491210938</v>
      </c>
      <c r="R2" s="2">
        <v>323.96739075214174</v>
      </c>
      <c r="S2" s="1">
        <v>3</v>
      </c>
      <c r="T2" s="1">
        <v>2</v>
      </c>
      <c r="U2" s="1">
        <v>1</v>
      </c>
      <c r="V2">
        <v>332.9224252344693</v>
      </c>
      <c r="W2">
        <v>0.5</v>
      </c>
      <c r="X2" s="2">
        <f>draft_board[[#This Row],[expected_ppg]]-draft_board[[#This Row],[median_ppg]]</f>
        <v>1.3293501194963895</v>
      </c>
      <c r="Y2">
        <v>16.5</v>
      </c>
      <c r="AB2"/>
      <c r="AG2"/>
      <c r="AK2"/>
      <c r="AL2"/>
      <c r="AM2"/>
      <c r="AO2"/>
    </row>
    <row r="3" spans="1:41" hidden="1" x14ac:dyDescent="0.2">
      <c r="A3" s="4" t="s">
        <v>37</v>
      </c>
      <c r="B3" s="4" t="s">
        <v>38</v>
      </c>
      <c r="C3" s="4" t="s">
        <v>32</v>
      </c>
      <c r="D3" s="4" t="s">
        <v>39</v>
      </c>
      <c r="E3" s="6">
        <v>5.25</v>
      </c>
      <c r="F3" s="4">
        <v>1</v>
      </c>
      <c r="G3" s="5">
        <v>3</v>
      </c>
      <c r="H3" s="5">
        <v>1</v>
      </c>
      <c r="I3" s="5">
        <v>1</v>
      </c>
      <c r="J3" s="5">
        <f t="shared" si="0"/>
        <v>-2</v>
      </c>
      <c r="K3" s="7">
        <v>12.972352869370404</v>
      </c>
      <c r="L3" s="7">
        <v>17.316420611213236</v>
      </c>
      <c r="M3" s="7">
        <v>18.798163918887866</v>
      </c>
      <c r="N3" s="7">
        <v>18.582698713016764</v>
      </c>
      <c r="O3" s="7">
        <v>220.52999877929688</v>
      </c>
      <c r="P3" s="7">
        <v>294.379150390625</v>
      </c>
      <c r="Q3" s="7">
        <v>319.56878662109375</v>
      </c>
      <c r="R3" s="7">
        <v>315.90587812128501</v>
      </c>
      <c r="S3" s="5">
        <v>3</v>
      </c>
      <c r="T3" s="5">
        <v>4</v>
      </c>
      <c r="U3" s="5">
        <v>6</v>
      </c>
      <c r="V3" s="4">
        <v>297.92957480283002</v>
      </c>
      <c r="W3" s="4">
        <v>1.3</v>
      </c>
      <c r="X3" s="7">
        <f>draft_board[[#This Row],[expected_ppg]]-draft_board[[#This Row],[median_ppg]]</f>
        <v>1.266278101803529</v>
      </c>
      <c r="Y3" s="4">
        <v>15.7</v>
      </c>
      <c r="AB3"/>
      <c r="AG3"/>
      <c r="AK3"/>
      <c r="AL3"/>
      <c r="AM3"/>
      <c r="AO3"/>
    </row>
    <row r="4" spans="1:41" x14ac:dyDescent="0.2">
      <c r="A4" t="s">
        <v>86</v>
      </c>
      <c r="B4" t="s">
        <v>87</v>
      </c>
      <c r="C4" t="s">
        <v>88</v>
      </c>
      <c r="D4" t="s">
        <v>53</v>
      </c>
      <c r="E4" s="3">
        <v>22.5</v>
      </c>
      <c r="F4">
        <v>1</v>
      </c>
      <c r="G4" s="1">
        <v>1</v>
      </c>
      <c r="H4" s="1">
        <v>5</v>
      </c>
      <c r="I4" s="1">
        <v>5</v>
      </c>
      <c r="J4" s="1">
        <f>I4-G4</f>
        <v>4</v>
      </c>
      <c r="K4" s="2">
        <v>16.783558565027572</v>
      </c>
      <c r="L4" s="2">
        <v>18.720988554113053</v>
      </c>
      <c r="M4" s="2">
        <v>22.016445384306067</v>
      </c>
      <c r="N4" s="2">
        <v>18.535944321576288</v>
      </c>
      <c r="O4" s="2">
        <v>285.32049560546875</v>
      </c>
      <c r="P4" s="2">
        <v>318.25680541992188</v>
      </c>
      <c r="Q4" s="2">
        <v>374.27957153320312</v>
      </c>
      <c r="R4" s="2">
        <v>315.11105346679688</v>
      </c>
      <c r="S4" s="1">
        <v>1</v>
      </c>
      <c r="T4" s="1">
        <v>1</v>
      </c>
      <c r="U4" s="1">
        <v>7</v>
      </c>
      <c r="V4">
        <v>326.90349731445315</v>
      </c>
      <c r="W4">
        <v>2</v>
      </c>
      <c r="X4" s="2">
        <f>draft_board[[#This Row],[expected_ppg]]-draft_board[[#This Row],[median_ppg]]</f>
        <v>-0.1850442325367645</v>
      </c>
      <c r="Y4">
        <v>15</v>
      </c>
      <c r="AB4"/>
      <c r="AG4"/>
      <c r="AK4"/>
      <c r="AL4"/>
      <c r="AM4"/>
      <c r="AO4"/>
    </row>
    <row r="5" spans="1:41" x14ac:dyDescent="0.2">
      <c r="A5" t="s">
        <v>148</v>
      </c>
      <c r="B5" t="s">
        <v>149</v>
      </c>
      <c r="C5" t="s">
        <v>88</v>
      </c>
      <c r="D5" t="s">
        <v>75</v>
      </c>
      <c r="E5" s="3">
        <v>51.5</v>
      </c>
      <c r="F5">
        <v>1</v>
      </c>
      <c r="G5" s="1">
        <v>3</v>
      </c>
      <c r="H5" s="1">
        <v>1</v>
      </c>
      <c r="I5" s="1">
        <v>1</v>
      </c>
      <c r="J5" s="1">
        <f>I5-G5</f>
        <v>-2</v>
      </c>
      <c r="K5" s="2">
        <v>16.232956830193014</v>
      </c>
      <c r="L5" s="2">
        <v>19.772884593290442</v>
      </c>
      <c r="M5" s="2">
        <v>21.856940774356616</v>
      </c>
      <c r="N5" s="2">
        <v>18.815808464499082</v>
      </c>
      <c r="O5" s="2">
        <v>275.96026611328125</v>
      </c>
      <c r="P5" s="2">
        <v>336.1390380859375</v>
      </c>
      <c r="Q5" s="2">
        <v>371.5679931640625</v>
      </c>
      <c r="R5" s="2">
        <v>319.86874389648438</v>
      </c>
      <c r="S5" s="1">
        <v>3</v>
      </c>
      <c r="T5" s="1">
        <v>2</v>
      </c>
      <c r="U5" s="1">
        <v>2</v>
      </c>
      <c r="V5">
        <v>326.59682312011716</v>
      </c>
      <c r="W5">
        <v>2.5</v>
      </c>
      <c r="X5" s="2">
        <f>draft_board[[#This Row],[expected_ppg]]-draft_board[[#This Row],[median_ppg]]</f>
        <v>-0.9570761287913605</v>
      </c>
      <c r="Y5">
        <v>14.5</v>
      </c>
      <c r="AB5"/>
      <c r="AG5"/>
      <c r="AK5"/>
      <c r="AL5"/>
      <c r="AM5"/>
      <c r="AO5"/>
    </row>
    <row r="6" spans="1:41" hidden="1" x14ac:dyDescent="0.2">
      <c r="A6" t="s">
        <v>34</v>
      </c>
      <c r="B6" t="s">
        <v>35</v>
      </c>
      <c r="C6" t="s">
        <v>32</v>
      </c>
      <c r="D6" t="s">
        <v>36</v>
      </c>
      <c r="E6" s="3">
        <v>3.5</v>
      </c>
      <c r="F6">
        <v>1</v>
      </c>
      <c r="G6" s="1">
        <v>2</v>
      </c>
      <c r="H6" s="1">
        <v>2</v>
      </c>
      <c r="I6" s="1">
        <v>2</v>
      </c>
      <c r="J6" s="1">
        <f>I6-G6</f>
        <v>0</v>
      </c>
      <c r="K6" s="2">
        <v>12.619996014763327</v>
      </c>
      <c r="L6" s="2">
        <v>17.176587273092832</v>
      </c>
      <c r="M6" s="2">
        <v>20.284684125114889</v>
      </c>
      <c r="N6" s="2">
        <v>18.499577708791168</v>
      </c>
      <c r="O6" s="2">
        <v>214.53993225097656</v>
      </c>
      <c r="P6" s="2">
        <v>292.00198364257812</v>
      </c>
      <c r="Q6" s="2">
        <v>344.83963012695312</v>
      </c>
      <c r="R6" s="2">
        <v>314.49282104944984</v>
      </c>
      <c r="S6" s="1">
        <v>4</v>
      </c>
      <c r="T6" s="1">
        <v>2</v>
      </c>
      <c r="U6" s="1">
        <v>9</v>
      </c>
      <c r="V6">
        <v>303.60628601300618</v>
      </c>
      <c r="W6">
        <v>2.2000000000000002</v>
      </c>
      <c r="X6" s="2">
        <f>draft_board[[#This Row],[expected_ppg]]-draft_board[[#This Row],[median_ppg]]</f>
        <v>1.3229904356983369</v>
      </c>
      <c r="Y6">
        <v>14.8</v>
      </c>
      <c r="AB6"/>
      <c r="AG6"/>
      <c r="AK6"/>
      <c r="AL6"/>
      <c r="AM6"/>
      <c r="AO6"/>
    </row>
    <row r="7" spans="1:41" x14ac:dyDescent="0.2">
      <c r="A7" s="4" t="s">
        <v>212</v>
      </c>
      <c r="B7" s="4" t="s">
        <v>213</v>
      </c>
      <c r="C7" s="4" t="s">
        <v>88</v>
      </c>
      <c r="D7" s="4" t="s">
        <v>182</v>
      </c>
      <c r="E7" s="6">
        <v>86.5</v>
      </c>
      <c r="F7" s="4">
        <v>1</v>
      </c>
      <c r="G7" s="5">
        <v>11</v>
      </c>
      <c r="H7" s="5">
        <v>3</v>
      </c>
      <c r="I7" s="5">
        <v>4</v>
      </c>
      <c r="J7" s="5">
        <f>I7-G7</f>
        <v>-7</v>
      </c>
      <c r="K7" s="7">
        <v>15.947861615349264</v>
      </c>
      <c r="L7" s="7">
        <v>18.965551039751837</v>
      </c>
      <c r="M7" s="7">
        <v>21.273175407858457</v>
      </c>
      <c r="N7" s="7">
        <v>18.692732867072611</v>
      </c>
      <c r="O7" s="7">
        <v>271.1136474609375</v>
      </c>
      <c r="P7" s="7">
        <v>322.41436767578125</v>
      </c>
      <c r="Q7" s="7">
        <v>361.64398193359375</v>
      </c>
      <c r="R7" s="7">
        <v>317.77645874023438</v>
      </c>
      <c r="S7" s="5">
        <v>4</v>
      </c>
      <c r="T7" s="5">
        <v>3</v>
      </c>
      <c r="U7" s="5">
        <v>4</v>
      </c>
      <c r="V7" s="4">
        <v>321.60415344238282</v>
      </c>
      <c r="W7" s="4">
        <v>2.5</v>
      </c>
      <c r="X7" s="7">
        <f>draft_board[[#This Row],[expected_ppg]]-draft_board[[#This Row],[median_ppg]]</f>
        <v>-0.27281817267922648</v>
      </c>
      <c r="Y7" s="4">
        <v>14.5</v>
      </c>
      <c r="AB7"/>
      <c r="AG7"/>
      <c r="AK7"/>
      <c r="AL7"/>
      <c r="AM7"/>
      <c r="AO7"/>
    </row>
    <row r="8" spans="1:41" hidden="1" x14ac:dyDescent="0.2">
      <c r="A8" t="s">
        <v>30</v>
      </c>
      <c r="B8" t="s">
        <v>31</v>
      </c>
      <c r="C8" t="s">
        <v>32</v>
      </c>
      <c r="D8" t="s">
        <v>33</v>
      </c>
      <c r="E8" s="3">
        <v>3</v>
      </c>
      <c r="F8">
        <v>1</v>
      </c>
      <c r="G8" s="1">
        <v>1</v>
      </c>
      <c r="H8" s="1">
        <v>3</v>
      </c>
      <c r="I8" s="1">
        <v>4</v>
      </c>
      <c r="J8" s="1">
        <f>I8-G8</f>
        <v>3</v>
      </c>
      <c r="K8" s="2">
        <v>13.568819831399356</v>
      </c>
      <c r="L8" s="2">
        <v>16.769324807559741</v>
      </c>
      <c r="M8" s="2">
        <v>21.076482436236212</v>
      </c>
      <c r="N8" s="2">
        <v>18.002890934816978</v>
      </c>
      <c r="O8" s="2">
        <v>230.66993713378906</v>
      </c>
      <c r="P8" s="2">
        <v>285.07852172851562</v>
      </c>
      <c r="Q8" s="2">
        <v>358.30020141601562</v>
      </c>
      <c r="R8" s="2">
        <v>306.04914589188866</v>
      </c>
      <c r="S8" s="1">
        <v>2</v>
      </c>
      <c r="T8" s="1">
        <v>1</v>
      </c>
      <c r="U8" s="1">
        <v>12</v>
      </c>
      <c r="V8">
        <v>306.64862079750685</v>
      </c>
      <c r="W8">
        <v>0.7</v>
      </c>
      <c r="X8" s="2">
        <f>draft_board[[#This Row],[expected_ppg]]-draft_board[[#This Row],[median_ppg]]</f>
        <v>1.2335661272572374</v>
      </c>
      <c r="Y8">
        <v>16.3</v>
      </c>
      <c r="AB8"/>
      <c r="AG8"/>
      <c r="AK8"/>
      <c r="AL8"/>
      <c r="AM8"/>
      <c r="AO8"/>
    </row>
    <row r="9" spans="1:41" s="8" customFormat="1" hidden="1" x14ac:dyDescent="0.2">
      <c r="A9" t="s">
        <v>23</v>
      </c>
      <c r="B9" t="s">
        <v>24</v>
      </c>
      <c r="C9" t="s">
        <v>25</v>
      </c>
      <c r="D9" t="s">
        <v>26</v>
      </c>
      <c r="E9" s="3">
        <v>1</v>
      </c>
      <c r="F9">
        <v>1</v>
      </c>
      <c r="G9" s="1">
        <v>1</v>
      </c>
      <c r="H9" s="1">
        <v>2</v>
      </c>
      <c r="I9" s="1">
        <v>2</v>
      </c>
      <c r="J9" s="1">
        <f>I9-G9</f>
        <v>1</v>
      </c>
      <c r="K9" s="2">
        <v>13.047006943646599</v>
      </c>
      <c r="L9" s="2">
        <v>17.715985466452207</v>
      </c>
      <c r="M9" s="2">
        <v>25.895841710707721</v>
      </c>
      <c r="N9" s="2">
        <v>17.490934798062828</v>
      </c>
      <c r="O9" s="2">
        <v>221.79911804199219</v>
      </c>
      <c r="P9" s="2">
        <v>301.1717529296875</v>
      </c>
      <c r="Q9" s="2">
        <v>440.22930908203125</v>
      </c>
      <c r="R9" s="2">
        <v>297.34589156706807</v>
      </c>
      <c r="S9" s="1">
        <v>2</v>
      </c>
      <c r="T9" s="1">
        <v>1</v>
      </c>
      <c r="U9" s="1">
        <v>14</v>
      </c>
      <c r="V9">
        <v>325.1015621165418</v>
      </c>
      <c r="W9">
        <v>1.5</v>
      </c>
      <c r="X9" s="2">
        <f>draft_board[[#This Row],[expected_ppg]]-draft_board[[#This Row],[median_ppg]]</f>
        <v>-0.22505066838937893</v>
      </c>
      <c r="Y9">
        <v>15.5</v>
      </c>
    </row>
    <row r="10" spans="1:41" x14ac:dyDescent="0.2">
      <c r="A10" s="4" t="s">
        <v>231</v>
      </c>
      <c r="B10" s="4" t="s">
        <v>232</v>
      </c>
      <c r="C10" s="4" t="s">
        <v>88</v>
      </c>
      <c r="D10" s="4" t="s">
        <v>139</v>
      </c>
      <c r="E10" s="6">
        <v>101.25</v>
      </c>
      <c r="F10" s="4">
        <v>1</v>
      </c>
      <c r="G10" s="5">
        <v>13</v>
      </c>
      <c r="H10" s="5">
        <v>4</v>
      </c>
      <c r="I10" s="5">
        <v>6</v>
      </c>
      <c r="J10" s="5">
        <f>I10-G10</f>
        <v>-7</v>
      </c>
      <c r="K10" s="7">
        <v>16.568136776194851</v>
      </c>
      <c r="L10" s="7">
        <v>18.178082634420957</v>
      </c>
      <c r="M10" s="7">
        <v>20.662981818704043</v>
      </c>
      <c r="N10" s="7">
        <v>18.60491943359375</v>
      </c>
      <c r="O10" s="7">
        <v>281.6583251953125</v>
      </c>
      <c r="P10" s="7">
        <v>309.02740478515625</v>
      </c>
      <c r="Q10" s="7">
        <v>351.27069091796875</v>
      </c>
      <c r="R10" s="7">
        <v>316.28363037109375</v>
      </c>
      <c r="S10" s="5">
        <v>2</v>
      </c>
      <c r="T10" s="5">
        <v>7</v>
      </c>
      <c r="U10" s="5">
        <v>5</v>
      </c>
      <c r="V10" s="4">
        <v>319.85468750000001</v>
      </c>
      <c r="W10" s="4">
        <v>1.5</v>
      </c>
      <c r="X10" s="7">
        <f>draft_board[[#This Row],[expected_ppg]]-draft_board[[#This Row],[median_ppg]]</f>
        <v>0.42683679917279349</v>
      </c>
      <c r="Y10" s="4">
        <v>15.5</v>
      </c>
      <c r="AB10"/>
      <c r="AG10"/>
      <c r="AK10"/>
      <c r="AL10"/>
      <c r="AM10"/>
      <c r="AO10"/>
    </row>
    <row r="11" spans="1:41" s="8" customFormat="1" x14ac:dyDescent="0.2">
      <c r="A11" t="s">
        <v>122</v>
      </c>
      <c r="B11" t="s">
        <v>123</v>
      </c>
      <c r="C11" t="s">
        <v>88</v>
      </c>
      <c r="D11" t="s">
        <v>81</v>
      </c>
      <c r="E11" s="3">
        <v>39</v>
      </c>
      <c r="F11">
        <v>2</v>
      </c>
      <c r="G11" s="1">
        <v>2</v>
      </c>
      <c r="H11" s="1">
        <v>6</v>
      </c>
      <c r="I11" s="1">
        <v>2</v>
      </c>
      <c r="J11" s="1">
        <f>I11-G11</f>
        <v>0</v>
      </c>
      <c r="K11" s="2">
        <v>14.14797165814568</v>
      </c>
      <c r="L11" s="2">
        <v>19.304351806640625</v>
      </c>
      <c r="M11" s="2">
        <v>20.643421846277572</v>
      </c>
      <c r="N11" s="2">
        <v>18.532519172219668</v>
      </c>
      <c r="O11" s="2">
        <v>240.51551818847656</v>
      </c>
      <c r="P11" s="2">
        <v>328.17398071289062</v>
      </c>
      <c r="Q11" s="2">
        <v>350.93817138671875</v>
      </c>
      <c r="R11" s="2">
        <v>315.05282592773438</v>
      </c>
      <c r="S11" s="1">
        <v>13</v>
      </c>
      <c r="T11" s="1">
        <v>9</v>
      </c>
      <c r="U11" s="1">
        <v>8</v>
      </c>
      <c r="V11">
        <v>310.91096801757811</v>
      </c>
      <c r="W11">
        <v>2.5</v>
      </c>
      <c r="X11" s="2">
        <f>draft_board[[#This Row],[expected_ppg]]-draft_board[[#This Row],[median_ppg]]</f>
        <v>-0.77183263442095651</v>
      </c>
      <c r="Y11">
        <v>14.5</v>
      </c>
    </row>
    <row r="12" spans="1:41" s="4" customFormat="1" x14ac:dyDescent="0.2">
      <c r="A12" t="s">
        <v>168</v>
      </c>
      <c r="B12" t="s">
        <v>169</v>
      </c>
      <c r="C12" t="s">
        <v>88</v>
      </c>
      <c r="D12" t="s">
        <v>62</v>
      </c>
      <c r="E12" s="3">
        <v>59</v>
      </c>
      <c r="F12">
        <v>2</v>
      </c>
      <c r="G12" s="1">
        <v>6</v>
      </c>
      <c r="H12" s="1">
        <v>7</v>
      </c>
      <c r="I12" s="1">
        <v>3</v>
      </c>
      <c r="J12" s="1">
        <f>I12-G12</f>
        <v>-3</v>
      </c>
      <c r="K12" s="2">
        <v>15.621772317325368</v>
      </c>
      <c r="L12" s="2">
        <v>18.982274672564337</v>
      </c>
      <c r="M12" s="2">
        <v>20.070472268497241</v>
      </c>
      <c r="N12" s="2">
        <v>18.107330322265625</v>
      </c>
      <c r="O12" s="2">
        <v>265.57012939453125</v>
      </c>
      <c r="P12" s="2">
        <v>322.69866943359375</v>
      </c>
      <c r="Q12" s="2">
        <v>341.19802856445312</v>
      </c>
      <c r="R12" s="2">
        <v>307.82461547851562</v>
      </c>
      <c r="S12" s="1">
        <v>5</v>
      </c>
      <c r="T12" s="1">
        <v>10</v>
      </c>
      <c r="U12" s="1">
        <v>10</v>
      </c>
      <c r="V12">
        <v>309.3857421875</v>
      </c>
      <c r="W12">
        <v>1.4</v>
      </c>
      <c r="X12" s="2">
        <f>draft_board[[#This Row],[expected_ppg]]-draft_board[[#This Row],[median_ppg]]</f>
        <v>-0.87494435029871198</v>
      </c>
      <c r="Y12">
        <v>15.6</v>
      </c>
    </row>
    <row r="13" spans="1:41" hidden="1" x14ac:dyDescent="0.2">
      <c r="A13" t="s">
        <v>57</v>
      </c>
      <c r="B13" t="s">
        <v>58</v>
      </c>
      <c r="C13" t="s">
        <v>25</v>
      </c>
      <c r="D13" t="s">
        <v>59</v>
      </c>
      <c r="E13" s="3">
        <v>13</v>
      </c>
      <c r="F13">
        <v>2</v>
      </c>
      <c r="G13" s="1">
        <v>6</v>
      </c>
      <c r="H13" s="1">
        <v>3</v>
      </c>
      <c r="I13" s="1">
        <v>5</v>
      </c>
      <c r="J13" s="1">
        <f>I13-G13</f>
        <v>-1</v>
      </c>
      <c r="K13" s="2">
        <v>12.517209221335019</v>
      </c>
      <c r="L13" s="2">
        <v>15.873937270220589</v>
      </c>
      <c r="M13" s="2">
        <v>20.741670496323529</v>
      </c>
      <c r="N13" s="2">
        <v>17.300960465263088</v>
      </c>
      <c r="O13" s="2">
        <v>212.79255676269531</v>
      </c>
      <c r="P13" s="2">
        <v>269.85693359375</v>
      </c>
      <c r="Q13" s="2">
        <v>352.6083984375</v>
      </c>
      <c r="R13" s="2">
        <v>294.11632790947249</v>
      </c>
      <c r="S13" s="1">
        <v>4</v>
      </c>
      <c r="T13" s="1">
        <v>5</v>
      </c>
      <c r="U13" s="1">
        <v>15</v>
      </c>
      <c r="V13">
        <v>295.39919483852532</v>
      </c>
      <c r="W13">
        <v>0.8</v>
      </c>
      <c r="X13" s="2">
        <f>draft_board[[#This Row],[expected_ppg]]-draft_board[[#This Row],[median_ppg]]</f>
        <v>1.4270231950424996</v>
      </c>
      <c r="Y13">
        <v>16.2</v>
      </c>
      <c r="AB13"/>
      <c r="AG13"/>
      <c r="AK13"/>
      <c r="AL13"/>
      <c r="AM13"/>
      <c r="AO13"/>
    </row>
    <row r="14" spans="1:41" x14ac:dyDescent="0.2">
      <c r="A14" s="4" t="s">
        <v>235</v>
      </c>
      <c r="B14" s="4" t="s">
        <v>236</v>
      </c>
      <c r="C14" s="4" t="s">
        <v>88</v>
      </c>
      <c r="D14" s="4" t="s">
        <v>72</v>
      </c>
      <c r="E14" s="6">
        <v>102.5</v>
      </c>
      <c r="F14" s="4">
        <v>2</v>
      </c>
      <c r="G14" s="5">
        <v>14</v>
      </c>
      <c r="H14" s="5">
        <v>8</v>
      </c>
      <c r="I14" s="5">
        <v>9</v>
      </c>
      <c r="J14" s="5">
        <f>I14-G14</f>
        <v>-5</v>
      </c>
      <c r="K14" s="7">
        <v>15.146645938648897</v>
      </c>
      <c r="L14" s="7">
        <v>17.837212057674634</v>
      </c>
      <c r="M14" s="7">
        <v>20.009833840762866</v>
      </c>
      <c r="N14" s="7">
        <v>18.007562973920038</v>
      </c>
      <c r="O14" s="7">
        <v>257.49298095703125</v>
      </c>
      <c r="P14" s="7">
        <v>303.23260498046875</v>
      </c>
      <c r="Q14" s="7">
        <v>340.16717529296875</v>
      </c>
      <c r="R14" s="7">
        <v>306.12857055664062</v>
      </c>
      <c r="S14" s="5">
        <v>7</v>
      </c>
      <c r="T14" s="5">
        <v>11</v>
      </c>
      <c r="U14" s="5">
        <v>11</v>
      </c>
      <c r="V14" s="4">
        <v>306.6130340576172</v>
      </c>
      <c r="W14" s="4">
        <v>3</v>
      </c>
      <c r="X14" s="7">
        <f>draft_board[[#This Row],[expected_ppg]]-draft_board[[#This Row],[median_ppg]]</f>
        <v>0.17035091624540399</v>
      </c>
      <c r="Y14" s="4">
        <v>14</v>
      </c>
      <c r="AB14"/>
      <c r="AG14"/>
      <c r="AK14"/>
      <c r="AL14"/>
      <c r="AM14"/>
      <c r="AO14"/>
    </row>
    <row r="15" spans="1:41" x14ac:dyDescent="0.2">
      <c r="A15" s="4" t="s">
        <v>210</v>
      </c>
      <c r="B15" s="4" t="s">
        <v>211</v>
      </c>
      <c r="C15" s="4" t="s">
        <v>88</v>
      </c>
      <c r="D15" s="4" t="s">
        <v>103</v>
      </c>
      <c r="E15" s="6">
        <v>84.5</v>
      </c>
      <c r="F15" s="4">
        <v>2</v>
      </c>
      <c r="G15" s="5">
        <v>10</v>
      </c>
      <c r="H15" s="5">
        <v>2</v>
      </c>
      <c r="I15" s="5">
        <v>8</v>
      </c>
      <c r="J15" s="5">
        <f>I15-G15</f>
        <v>-2</v>
      </c>
      <c r="K15" s="7">
        <v>11.163276223575368</v>
      </c>
      <c r="L15" s="7">
        <v>17.943623262293197</v>
      </c>
      <c r="M15" s="7">
        <v>20.998910342945774</v>
      </c>
      <c r="N15" s="7">
        <v>18.769543816061582</v>
      </c>
      <c r="O15" s="7">
        <v>189.77569580078125</v>
      </c>
      <c r="P15" s="7">
        <v>305.04159545898438</v>
      </c>
      <c r="Q15" s="7">
        <v>356.98147583007812</v>
      </c>
      <c r="R15" s="7">
        <v>319.08224487304688</v>
      </c>
      <c r="S15" s="5">
        <v>21</v>
      </c>
      <c r="T15" s="5">
        <v>4</v>
      </c>
      <c r="U15" s="5">
        <v>3</v>
      </c>
      <c r="V15" s="4">
        <v>304.5907043457031</v>
      </c>
      <c r="W15" s="4">
        <v>1.1000000000000001</v>
      </c>
      <c r="X15" s="7">
        <f>draft_board[[#This Row],[expected_ppg]]-draft_board[[#This Row],[median_ppg]]</f>
        <v>0.82592055376838402</v>
      </c>
      <c r="Y15" s="4">
        <v>15.9</v>
      </c>
      <c r="AB15"/>
      <c r="AG15"/>
      <c r="AK15"/>
      <c r="AL15"/>
      <c r="AM15"/>
      <c r="AO15"/>
    </row>
    <row r="16" spans="1:41" s="4" customFormat="1" x14ac:dyDescent="0.2">
      <c r="A16" t="s">
        <v>208</v>
      </c>
      <c r="B16" t="s">
        <v>209</v>
      </c>
      <c r="C16" t="s">
        <v>88</v>
      </c>
      <c r="D16" t="s">
        <v>78</v>
      </c>
      <c r="E16" s="3">
        <v>83.75</v>
      </c>
      <c r="F16">
        <v>2</v>
      </c>
      <c r="G16" s="1">
        <v>9</v>
      </c>
      <c r="H16" s="1">
        <v>10</v>
      </c>
      <c r="I16" s="1">
        <v>11</v>
      </c>
      <c r="J16" s="1">
        <f>I16-G16</f>
        <v>2</v>
      </c>
      <c r="K16" s="2">
        <v>15.228770536534926</v>
      </c>
      <c r="L16" s="2">
        <v>17.560814352596509</v>
      </c>
      <c r="M16" s="2">
        <v>20.655745562385111</v>
      </c>
      <c r="N16" s="2">
        <v>17.271843405330884</v>
      </c>
      <c r="O16" s="2">
        <v>258.88909912109375</v>
      </c>
      <c r="P16" s="2">
        <v>298.53384399414062</v>
      </c>
      <c r="Q16" s="2">
        <v>351.14767456054688</v>
      </c>
      <c r="R16" s="2">
        <v>293.621337890625</v>
      </c>
      <c r="S16" s="1">
        <v>6</v>
      </c>
      <c r="T16" s="1">
        <v>8</v>
      </c>
      <c r="U16" s="1">
        <v>16</v>
      </c>
      <c r="V16">
        <v>303.93279113769529</v>
      </c>
      <c r="W16">
        <v>2.5</v>
      </c>
      <c r="X16" s="2">
        <f>draft_board[[#This Row],[expected_ppg]]-draft_board[[#This Row],[median_ppg]]</f>
        <v>-0.288970947265625</v>
      </c>
      <c r="Y16">
        <v>14.5</v>
      </c>
    </row>
    <row r="17" spans="1:41" hidden="1" x14ac:dyDescent="0.2">
      <c r="A17" t="s">
        <v>40</v>
      </c>
      <c r="B17" t="s">
        <v>41</v>
      </c>
      <c r="C17" t="s">
        <v>25</v>
      </c>
      <c r="D17" t="s">
        <v>42</v>
      </c>
      <c r="E17" s="3">
        <v>6</v>
      </c>
      <c r="F17">
        <v>2</v>
      </c>
      <c r="G17" s="1">
        <v>3</v>
      </c>
      <c r="H17" s="1">
        <v>4</v>
      </c>
      <c r="I17" s="1">
        <v>6</v>
      </c>
      <c r="J17" s="1">
        <f>I17-G17</f>
        <v>3</v>
      </c>
      <c r="K17" s="2">
        <v>11.176314410041361</v>
      </c>
      <c r="L17" s="2">
        <v>14.893359913545495</v>
      </c>
      <c r="M17" s="2">
        <v>21.152779971852024</v>
      </c>
      <c r="N17" s="2">
        <v>17.120279808829746</v>
      </c>
      <c r="O17" s="2">
        <v>189.99734497070312</v>
      </c>
      <c r="P17" s="2">
        <v>253.18711853027344</v>
      </c>
      <c r="Q17" s="2">
        <v>359.59725952148438</v>
      </c>
      <c r="R17" s="2">
        <v>291.04475675010571</v>
      </c>
      <c r="S17" s="1">
        <v>9</v>
      </c>
      <c r="T17" s="1">
        <v>4</v>
      </c>
      <c r="U17" s="1">
        <v>19</v>
      </c>
      <c r="V17">
        <v>291.40102522563876</v>
      </c>
      <c r="W17">
        <v>2.1</v>
      </c>
      <c r="X17" s="2">
        <f>draft_board[[#This Row],[expected_ppg]]-draft_board[[#This Row],[median_ppg]]</f>
        <v>2.2269198952842508</v>
      </c>
      <c r="Y17">
        <v>14.9</v>
      </c>
      <c r="AB17"/>
      <c r="AG17"/>
      <c r="AK17"/>
      <c r="AL17"/>
      <c r="AM17"/>
      <c r="AO17"/>
    </row>
    <row r="18" spans="1:41" x14ac:dyDescent="0.2">
      <c r="A18" t="s">
        <v>225</v>
      </c>
      <c r="B18" t="s">
        <v>226</v>
      </c>
      <c r="C18" t="s">
        <v>88</v>
      </c>
      <c r="D18" t="s">
        <v>36</v>
      </c>
      <c r="E18" s="3">
        <v>95.5</v>
      </c>
      <c r="F18">
        <v>2</v>
      </c>
      <c r="G18" s="1">
        <v>12</v>
      </c>
      <c r="H18" s="1">
        <v>9</v>
      </c>
      <c r="I18" s="1">
        <v>10</v>
      </c>
      <c r="J18" s="1">
        <f>I18-G18</f>
        <v>-2</v>
      </c>
      <c r="K18" s="2">
        <v>15.011190077837776</v>
      </c>
      <c r="L18" s="2">
        <v>17.658822452320774</v>
      </c>
      <c r="M18" s="2">
        <v>18.944533404181986</v>
      </c>
      <c r="N18" s="2">
        <v>17.549388212316178</v>
      </c>
      <c r="O18" s="2">
        <v>255.19023132324219</v>
      </c>
      <c r="P18" s="2">
        <v>300.19998168945312</v>
      </c>
      <c r="Q18" s="2">
        <v>322.05706787109375</v>
      </c>
      <c r="R18" s="2">
        <v>298.339599609375</v>
      </c>
      <c r="S18" s="1">
        <v>9</v>
      </c>
      <c r="T18" s="1">
        <v>13</v>
      </c>
      <c r="U18" s="1">
        <v>13</v>
      </c>
      <c r="V18">
        <v>296.82496643066406</v>
      </c>
      <c r="W18">
        <v>2.6</v>
      </c>
      <c r="X18" s="2">
        <f>draft_board[[#This Row],[expected_ppg]]-draft_board[[#This Row],[median_ppg]]</f>
        <v>-0.10943424000459601</v>
      </c>
      <c r="Y18">
        <v>14.4</v>
      </c>
      <c r="AB18"/>
      <c r="AG18"/>
      <c r="AK18"/>
      <c r="AL18"/>
      <c r="AM18"/>
      <c r="AO18"/>
    </row>
    <row r="19" spans="1:41" x14ac:dyDescent="0.2">
      <c r="A19" s="8" t="s">
        <v>195</v>
      </c>
      <c r="B19" s="8" t="s">
        <v>196</v>
      </c>
      <c r="C19" s="8" t="s">
        <v>88</v>
      </c>
      <c r="D19" s="8" t="s">
        <v>129</v>
      </c>
      <c r="E19" s="10">
        <v>76.75</v>
      </c>
      <c r="F19" s="8">
        <v>2</v>
      </c>
      <c r="G19" s="9">
        <v>7</v>
      </c>
      <c r="H19" s="9">
        <v>11</v>
      </c>
      <c r="I19" s="9">
        <v>16</v>
      </c>
      <c r="J19" s="9">
        <f>I19-G19</f>
        <v>9</v>
      </c>
      <c r="K19" s="11">
        <v>12.735770730411305</v>
      </c>
      <c r="L19" s="11">
        <v>16.272407082950366</v>
      </c>
      <c r="M19" s="11">
        <v>20.949014102711399</v>
      </c>
      <c r="N19" s="11">
        <v>17.2445068359375</v>
      </c>
      <c r="O19" s="11">
        <v>216.50810241699219</v>
      </c>
      <c r="P19" s="11">
        <v>276.63092041015625</v>
      </c>
      <c r="Q19" s="11">
        <v>356.13323974609375</v>
      </c>
      <c r="R19" s="11">
        <v>293.1566162109375</v>
      </c>
      <c r="S19" s="9">
        <v>14</v>
      </c>
      <c r="T19" s="9">
        <v>5</v>
      </c>
      <c r="U19" s="9">
        <v>17</v>
      </c>
      <c r="V19" s="8">
        <v>296.71990051269529</v>
      </c>
      <c r="W19" s="8">
        <v>1</v>
      </c>
      <c r="X19" s="11">
        <f>draft_board[[#This Row],[expected_ppg]]-draft_board[[#This Row],[median_ppg]]</f>
        <v>0.97209975298713402</v>
      </c>
      <c r="Y19" s="8">
        <v>16</v>
      </c>
      <c r="AB19"/>
      <c r="AG19"/>
      <c r="AK19"/>
      <c r="AL19"/>
      <c r="AM19"/>
      <c r="AO19"/>
    </row>
    <row r="20" spans="1:41" hidden="1" x14ac:dyDescent="0.2">
      <c r="A20" t="s">
        <v>46</v>
      </c>
      <c r="B20" t="s">
        <v>47</v>
      </c>
      <c r="C20" t="s">
        <v>32</v>
      </c>
      <c r="D20" t="s">
        <v>26</v>
      </c>
      <c r="E20" s="3">
        <v>7.75</v>
      </c>
      <c r="F20">
        <v>1</v>
      </c>
      <c r="G20" s="1">
        <v>4</v>
      </c>
      <c r="H20" s="1">
        <v>4</v>
      </c>
      <c r="I20" s="1">
        <v>3</v>
      </c>
      <c r="J20" s="1">
        <f>I20-G20</f>
        <v>-1</v>
      </c>
      <c r="K20" s="2">
        <v>13.94710495892693</v>
      </c>
      <c r="L20" s="2">
        <v>16.880329805261947</v>
      </c>
      <c r="M20" s="2">
        <v>19.880595487706803</v>
      </c>
      <c r="N20" s="2">
        <v>16.961342820069824</v>
      </c>
      <c r="O20" s="2">
        <v>237.10078430175781</v>
      </c>
      <c r="P20" s="2">
        <v>286.96560668945312</v>
      </c>
      <c r="Q20" s="2">
        <v>337.97012329101562</v>
      </c>
      <c r="R20" s="2">
        <v>288.34282794118701</v>
      </c>
      <c r="S20" s="1">
        <v>1</v>
      </c>
      <c r="T20" s="1">
        <v>3</v>
      </c>
      <c r="U20" s="1">
        <v>20</v>
      </c>
      <c r="V20">
        <v>292.98260781824979</v>
      </c>
      <c r="W20">
        <v>0.9</v>
      </c>
      <c r="X20" s="2">
        <f>draft_board[[#This Row],[expected_ppg]]-draft_board[[#This Row],[median_ppg]]</f>
        <v>8.101301480787626E-2</v>
      </c>
      <c r="Y20">
        <v>16.100000000000001</v>
      </c>
      <c r="AB20"/>
      <c r="AG20"/>
      <c r="AK20"/>
      <c r="AL20"/>
      <c r="AM20"/>
      <c r="AO20"/>
    </row>
    <row r="21" spans="1:41" hidden="1" x14ac:dyDescent="0.2">
      <c r="A21" t="s">
        <v>43</v>
      </c>
      <c r="B21" t="s">
        <v>44</v>
      </c>
      <c r="C21" t="s">
        <v>25</v>
      </c>
      <c r="D21" t="s">
        <v>45</v>
      </c>
      <c r="E21" s="3">
        <v>7.5</v>
      </c>
      <c r="F21">
        <v>2</v>
      </c>
      <c r="G21" s="1">
        <v>4</v>
      </c>
      <c r="H21" s="1">
        <v>5</v>
      </c>
      <c r="I21" s="1">
        <v>3</v>
      </c>
      <c r="J21" s="1">
        <f>I21-G21</f>
        <v>-1</v>
      </c>
      <c r="K21" s="2">
        <v>13.069463393267464</v>
      </c>
      <c r="L21" s="2">
        <v>17.115534165326288</v>
      </c>
      <c r="M21" s="2">
        <v>19.715757482192096</v>
      </c>
      <c r="N21" s="2">
        <v>16.522918017968308</v>
      </c>
      <c r="O21" s="2">
        <v>222.18087768554688</v>
      </c>
      <c r="P21" s="2">
        <v>290.96408081054688</v>
      </c>
      <c r="Q21" s="2">
        <v>335.16787719726562</v>
      </c>
      <c r="R21" s="2">
        <v>280.88960630546126</v>
      </c>
      <c r="S21" s="1">
        <v>1</v>
      </c>
      <c r="T21" s="1">
        <v>6</v>
      </c>
      <c r="U21" s="1">
        <v>24</v>
      </c>
      <c r="V21">
        <v>285.4313418490197</v>
      </c>
      <c r="W21">
        <v>0.4</v>
      </c>
      <c r="X21" s="2">
        <f>draft_board[[#This Row],[expected_ppg]]-draft_board[[#This Row],[median_ppg]]</f>
        <v>-0.59261614735797963</v>
      </c>
      <c r="Y21">
        <v>16.600000000000001</v>
      </c>
      <c r="AB21"/>
      <c r="AG21"/>
      <c r="AK21"/>
      <c r="AL21"/>
      <c r="AM21"/>
      <c r="AO21"/>
    </row>
    <row r="22" spans="1:41" x14ac:dyDescent="0.2">
      <c r="A22" t="s">
        <v>200</v>
      </c>
      <c r="B22" t="s">
        <v>201</v>
      </c>
      <c r="C22" t="s">
        <v>88</v>
      </c>
      <c r="D22" t="s">
        <v>50</v>
      </c>
      <c r="E22" s="3">
        <v>77.75</v>
      </c>
      <c r="F22">
        <v>3</v>
      </c>
      <c r="G22" s="1">
        <v>8</v>
      </c>
      <c r="H22" s="1">
        <v>13</v>
      </c>
      <c r="I22" s="1">
        <v>13</v>
      </c>
      <c r="J22" s="1">
        <f>I22-G22</f>
        <v>5</v>
      </c>
      <c r="K22" s="2">
        <v>14.151870727539062</v>
      </c>
      <c r="L22" s="2">
        <v>16.571386000689337</v>
      </c>
      <c r="M22" s="2">
        <v>19.063131893382351</v>
      </c>
      <c r="N22" s="2">
        <v>16.825265323414524</v>
      </c>
      <c r="O22" s="2">
        <v>240.58180236816406</v>
      </c>
      <c r="P22" s="2">
        <v>281.71356201171875</v>
      </c>
      <c r="Q22" s="2">
        <v>324.0732421875</v>
      </c>
      <c r="R22" s="2">
        <v>286.02951049804688</v>
      </c>
      <c r="S22" s="1">
        <v>12</v>
      </c>
      <c r="T22" s="1">
        <v>12</v>
      </c>
      <c r="U22" s="1">
        <v>21</v>
      </c>
      <c r="V22">
        <v>288.35308837890625</v>
      </c>
      <c r="W22">
        <v>2</v>
      </c>
      <c r="X22" s="2">
        <f>draft_board[[#This Row],[expected_ppg]]-draft_board[[#This Row],[median_ppg]]</f>
        <v>0.25387932272518654</v>
      </c>
      <c r="Y22">
        <v>15</v>
      </c>
      <c r="AB22"/>
      <c r="AG22"/>
      <c r="AK22"/>
      <c r="AL22"/>
      <c r="AM22"/>
      <c r="AO22"/>
    </row>
    <row r="23" spans="1:41" s="4" customFormat="1" hidden="1" x14ac:dyDescent="0.2">
      <c r="A23" t="s">
        <v>63</v>
      </c>
      <c r="B23" t="s">
        <v>64</v>
      </c>
      <c r="C23" t="s">
        <v>25</v>
      </c>
      <c r="D23" t="s">
        <v>65</v>
      </c>
      <c r="E23" s="3">
        <v>16.25</v>
      </c>
      <c r="F23">
        <v>2</v>
      </c>
      <c r="G23" s="1">
        <v>8</v>
      </c>
      <c r="H23" s="1">
        <v>6</v>
      </c>
      <c r="I23" s="1">
        <v>8</v>
      </c>
      <c r="J23" s="1">
        <f>I23-G23</f>
        <v>0</v>
      </c>
      <c r="K23" s="2">
        <v>11.616446999942555</v>
      </c>
      <c r="L23" s="2">
        <v>14.79793503705193</v>
      </c>
      <c r="M23" s="2">
        <v>21.339931712431067</v>
      </c>
      <c r="N23" s="2">
        <v>15.780365584801716</v>
      </c>
      <c r="O23" s="2">
        <v>197.47959899902344</v>
      </c>
      <c r="P23" s="2">
        <v>251.56489562988281</v>
      </c>
      <c r="Q23" s="2">
        <v>362.77883911132812</v>
      </c>
      <c r="R23" s="2">
        <v>268.26621494162919</v>
      </c>
      <c r="S23" s="1">
        <v>7</v>
      </c>
      <c r="T23" s="1">
        <v>3</v>
      </c>
      <c r="U23" s="1">
        <v>28</v>
      </c>
      <c r="V23">
        <v>282.46267900401773</v>
      </c>
      <c r="W23">
        <v>1.1000000000000001</v>
      </c>
      <c r="X23" s="2">
        <f>draft_board[[#This Row],[expected_ppg]]-draft_board[[#This Row],[median_ppg]]</f>
        <v>0.98243054774978589</v>
      </c>
      <c r="Y23">
        <v>15.9</v>
      </c>
    </row>
    <row r="24" spans="1:41" x14ac:dyDescent="0.2">
      <c r="A24" s="4" t="s">
        <v>166</v>
      </c>
      <c r="B24" s="4" t="s">
        <v>167</v>
      </c>
      <c r="C24" s="4" t="s">
        <v>88</v>
      </c>
      <c r="D24" s="4" t="s">
        <v>156</v>
      </c>
      <c r="E24" s="6">
        <v>58.5</v>
      </c>
      <c r="F24" s="4">
        <v>3</v>
      </c>
      <c r="G24" s="5">
        <v>5</v>
      </c>
      <c r="H24" s="5">
        <v>12</v>
      </c>
      <c r="I24" s="5">
        <v>7</v>
      </c>
      <c r="J24" s="5">
        <f>I24-G24</f>
        <v>2</v>
      </c>
      <c r="K24" s="7">
        <v>9.8992875043083632</v>
      </c>
      <c r="L24" s="7">
        <v>17.963592529296875</v>
      </c>
      <c r="M24" s="7">
        <v>20.772825353285846</v>
      </c>
      <c r="N24" s="7">
        <v>17.154612821691178</v>
      </c>
      <c r="O24" s="7">
        <v>168.28788757324219</v>
      </c>
      <c r="P24" s="7">
        <v>305.38107299804688</v>
      </c>
      <c r="Q24" s="7">
        <v>353.13803100585938</v>
      </c>
      <c r="R24" s="7">
        <v>291.62841796875</v>
      </c>
      <c r="S24" s="5">
        <v>23</v>
      </c>
      <c r="T24" s="5">
        <v>6</v>
      </c>
      <c r="U24" s="5">
        <v>18</v>
      </c>
      <c r="V24" s="4">
        <v>285.41319580078124</v>
      </c>
      <c r="W24" s="4">
        <v>1.2</v>
      </c>
      <c r="X24" s="7">
        <f>draft_board[[#This Row],[expected_ppg]]-draft_board[[#This Row],[median_ppg]]</f>
        <v>-0.80897970760569748</v>
      </c>
      <c r="Y24" s="4">
        <v>15.8</v>
      </c>
      <c r="AB24"/>
      <c r="AG24"/>
      <c r="AK24"/>
      <c r="AL24"/>
      <c r="AM24"/>
      <c r="AO24"/>
    </row>
    <row r="25" spans="1:41" x14ac:dyDescent="0.2">
      <c r="A25" t="s">
        <v>267</v>
      </c>
      <c r="B25" t="s">
        <v>268</v>
      </c>
      <c r="C25" t="s">
        <v>88</v>
      </c>
      <c r="D25" t="s">
        <v>26</v>
      </c>
      <c r="E25" s="3">
        <v>124.25</v>
      </c>
      <c r="F25">
        <v>3</v>
      </c>
      <c r="G25" s="1">
        <v>16</v>
      </c>
      <c r="H25" s="1">
        <v>15</v>
      </c>
      <c r="I25" s="1">
        <v>15</v>
      </c>
      <c r="J25" s="1">
        <f>I25-G25</f>
        <v>-1</v>
      </c>
      <c r="K25" s="2">
        <v>15.054813160615808</v>
      </c>
      <c r="L25" s="2">
        <v>16.317422305836399</v>
      </c>
      <c r="M25" s="2">
        <v>17.437142764820774</v>
      </c>
      <c r="N25" s="2">
        <v>16.614011876723346</v>
      </c>
      <c r="O25" s="2">
        <v>255.93182373046875</v>
      </c>
      <c r="P25" s="2">
        <v>277.39617919921875</v>
      </c>
      <c r="Q25" s="2">
        <v>296.43142700195312</v>
      </c>
      <c r="R25" s="2">
        <v>282.43820190429688</v>
      </c>
      <c r="S25" s="1">
        <v>8</v>
      </c>
      <c r="T25" s="1">
        <v>23</v>
      </c>
      <c r="U25" s="1">
        <v>23</v>
      </c>
      <c r="V25">
        <v>281.33489379882815</v>
      </c>
      <c r="W25">
        <v>0.8</v>
      </c>
      <c r="X25" s="2">
        <f>draft_board[[#This Row],[expected_ppg]]-draft_board[[#This Row],[median_ppg]]</f>
        <v>0.29658957088694748</v>
      </c>
      <c r="Y25">
        <v>16.2</v>
      </c>
      <c r="AB25"/>
      <c r="AG25"/>
      <c r="AK25"/>
      <c r="AL25"/>
      <c r="AM25"/>
      <c r="AO25"/>
    </row>
    <row r="26" spans="1:41" s="8" customFormat="1" hidden="1" x14ac:dyDescent="0.2">
      <c r="A26" t="s">
        <v>82</v>
      </c>
      <c r="B26" t="s">
        <v>83</v>
      </c>
      <c r="C26" t="s">
        <v>84</v>
      </c>
      <c r="D26" t="s">
        <v>85</v>
      </c>
      <c r="E26" s="3">
        <v>21.75</v>
      </c>
      <c r="F26">
        <v>1</v>
      </c>
      <c r="G26" s="1">
        <v>1</v>
      </c>
      <c r="H26" s="1">
        <v>1</v>
      </c>
      <c r="I26" s="1">
        <v>1</v>
      </c>
      <c r="J26" s="1">
        <f>I26-G26</f>
        <v>0</v>
      </c>
      <c r="K26" s="2">
        <v>13.842890122357536</v>
      </c>
      <c r="L26" s="2">
        <v>15.296614703010111</v>
      </c>
      <c r="M26" s="2">
        <v>18.719347785500918</v>
      </c>
      <c r="N26" s="2">
        <v>15.551609982102438</v>
      </c>
      <c r="O26" s="2">
        <v>235.32913208007812</v>
      </c>
      <c r="P26" s="2">
        <v>260.04244995117188</v>
      </c>
      <c r="Q26" s="2">
        <v>318.22891235351562</v>
      </c>
      <c r="R26" s="2">
        <v>264.37736969574144</v>
      </c>
      <c r="S26" s="1">
        <v>1</v>
      </c>
      <c r="T26" s="1">
        <v>1</v>
      </c>
      <c r="U26" s="1">
        <v>30</v>
      </c>
      <c r="V26">
        <v>274.72318496994103</v>
      </c>
      <c r="W26">
        <v>2.5</v>
      </c>
      <c r="X26" s="2">
        <f>draft_board[[#This Row],[expected_ppg]]-draft_board[[#This Row],[median_ppg]]</f>
        <v>0.25499527909232711</v>
      </c>
      <c r="Y26">
        <v>14.5</v>
      </c>
    </row>
    <row r="27" spans="1:41" s="4" customFormat="1" x14ac:dyDescent="0.2">
      <c r="A27" s="8" t="s">
        <v>160</v>
      </c>
      <c r="B27" s="8" t="s">
        <v>161</v>
      </c>
      <c r="C27" s="8" t="s">
        <v>88</v>
      </c>
      <c r="D27" s="8" t="s">
        <v>33</v>
      </c>
      <c r="E27" s="10">
        <v>55.75</v>
      </c>
      <c r="F27" s="8">
        <v>3</v>
      </c>
      <c r="G27" s="9">
        <v>4</v>
      </c>
      <c r="H27" s="9">
        <v>14</v>
      </c>
      <c r="I27" s="9">
        <v>14</v>
      </c>
      <c r="J27" s="9">
        <f>I27-G27</f>
        <v>10</v>
      </c>
      <c r="K27" s="11">
        <v>12.554413739372702</v>
      </c>
      <c r="L27" s="11">
        <v>16.397450166590072</v>
      </c>
      <c r="M27" s="11">
        <v>18.525999181410846</v>
      </c>
      <c r="N27" s="11">
        <v>16.687313304227942</v>
      </c>
      <c r="O27" s="11">
        <v>213.42503356933594</v>
      </c>
      <c r="P27" s="11">
        <v>278.75665283203125</v>
      </c>
      <c r="Q27" s="11">
        <v>314.94198608398438</v>
      </c>
      <c r="R27" s="11">
        <v>283.684326171875</v>
      </c>
      <c r="S27" s="9">
        <v>15</v>
      </c>
      <c r="T27" s="9">
        <v>18</v>
      </c>
      <c r="U27" s="9">
        <v>22</v>
      </c>
      <c r="V27" s="8">
        <v>279.009765625</v>
      </c>
      <c r="W27" s="8">
        <v>2.2999999999999998</v>
      </c>
      <c r="X27" s="11">
        <f>draft_board[[#This Row],[expected_ppg]]-draft_board[[#This Row],[median_ppg]]</f>
        <v>0.28986313763786953</v>
      </c>
      <c r="Y27" s="8">
        <v>14.7</v>
      </c>
    </row>
    <row r="28" spans="1:41" ht="15" hidden="1" customHeight="1" x14ac:dyDescent="0.2">
      <c r="A28" t="s">
        <v>51</v>
      </c>
      <c r="B28" t="s">
        <v>52</v>
      </c>
      <c r="C28" t="s">
        <v>25</v>
      </c>
      <c r="D28" t="s">
        <v>53</v>
      </c>
      <c r="E28" s="3">
        <v>10</v>
      </c>
      <c r="F28">
        <v>2</v>
      </c>
      <c r="G28" s="1">
        <v>5</v>
      </c>
      <c r="H28" s="1">
        <v>7</v>
      </c>
      <c r="I28" s="1">
        <v>4</v>
      </c>
      <c r="J28" s="1">
        <f>I28-G28</f>
        <v>-1</v>
      </c>
      <c r="K28" s="2">
        <v>12.102630615234375</v>
      </c>
      <c r="L28" s="2">
        <v>16.612398035386029</v>
      </c>
      <c r="M28" s="2">
        <v>19.022552490234375</v>
      </c>
      <c r="N28" s="2">
        <v>14.795580618099713</v>
      </c>
      <c r="O28" s="2">
        <v>205.74472045898438</v>
      </c>
      <c r="P28" s="2">
        <v>282.4107666015625</v>
      </c>
      <c r="Q28" s="2">
        <v>323.38339233398438</v>
      </c>
      <c r="R28" s="2">
        <v>251.52487050769511</v>
      </c>
      <c r="S28" s="1">
        <v>5</v>
      </c>
      <c r="T28" s="1">
        <v>7</v>
      </c>
      <c r="U28" s="1">
        <v>31</v>
      </c>
      <c r="V28">
        <v>263.92639704583974</v>
      </c>
      <c r="W28">
        <v>1</v>
      </c>
      <c r="X28" s="2">
        <f>draft_board[[#This Row],[expected_ppg]]-draft_board[[#This Row],[median_ppg]]</f>
        <v>-1.8168174172863161</v>
      </c>
      <c r="Y28">
        <v>16</v>
      </c>
      <c r="AB28"/>
      <c r="AG28"/>
      <c r="AK28"/>
      <c r="AL28"/>
      <c r="AM28"/>
      <c r="AO28"/>
    </row>
    <row r="29" spans="1:41" hidden="1" x14ac:dyDescent="0.2">
      <c r="A29" t="s">
        <v>66</v>
      </c>
      <c r="B29" t="s">
        <v>67</v>
      </c>
      <c r="C29" t="s">
        <v>32</v>
      </c>
      <c r="D29" t="s">
        <v>29</v>
      </c>
      <c r="E29" s="3">
        <v>16.25</v>
      </c>
      <c r="F29">
        <v>2</v>
      </c>
      <c r="G29" s="1">
        <v>7</v>
      </c>
      <c r="H29" s="1">
        <v>5</v>
      </c>
      <c r="I29" s="1">
        <v>6</v>
      </c>
      <c r="J29" s="1">
        <f>I29-G29</f>
        <v>-1</v>
      </c>
      <c r="K29" s="2">
        <v>12.440742043887868</v>
      </c>
      <c r="L29" s="2">
        <v>15.271845200482536</v>
      </c>
      <c r="M29" s="2">
        <v>17.457128188189337</v>
      </c>
      <c r="N29" s="2">
        <v>14.650714004559312</v>
      </c>
      <c r="O29" s="2">
        <v>211.49261474609375</v>
      </c>
      <c r="P29" s="2">
        <v>259.62136840820312</v>
      </c>
      <c r="Q29" s="2">
        <v>296.77117919921875</v>
      </c>
      <c r="R29" s="2">
        <v>249.06213807750831</v>
      </c>
      <c r="S29" s="1">
        <v>5</v>
      </c>
      <c r="T29" s="1">
        <v>8</v>
      </c>
      <c r="U29" s="1">
        <v>32</v>
      </c>
      <c r="V29">
        <v>255.86094574773853</v>
      </c>
      <c r="W29">
        <v>2.6</v>
      </c>
      <c r="X29" s="2">
        <f>draft_board[[#This Row],[expected_ppg]]-draft_board[[#This Row],[median_ppg]]</f>
        <v>-0.62113119592322441</v>
      </c>
      <c r="Y29">
        <v>14.4</v>
      </c>
      <c r="AB29"/>
      <c r="AG29"/>
      <c r="AK29"/>
      <c r="AL29"/>
      <c r="AM29"/>
      <c r="AO29"/>
    </row>
    <row r="30" spans="1:41" x14ac:dyDescent="0.2">
      <c r="A30" t="s">
        <v>285</v>
      </c>
      <c r="B30" t="s">
        <v>286</v>
      </c>
      <c r="C30" t="s">
        <v>88</v>
      </c>
      <c r="D30" t="s">
        <v>134</v>
      </c>
      <c r="E30" s="3">
        <v>136.25</v>
      </c>
      <c r="F30">
        <v>3</v>
      </c>
      <c r="G30" s="1">
        <v>18</v>
      </c>
      <c r="H30" s="1">
        <v>16</v>
      </c>
      <c r="I30" s="1">
        <v>12</v>
      </c>
      <c r="J30" s="1">
        <f>I30-G30</f>
        <v>-6</v>
      </c>
      <c r="K30" s="2">
        <v>14.229581945082721</v>
      </c>
      <c r="L30" s="2">
        <v>16.600103041704962</v>
      </c>
      <c r="M30" s="2">
        <v>18.186661664177389</v>
      </c>
      <c r="N30" s="2">
        <v>15.929136388442096</v>
      </c>
      <c r="O30" s="2">
        <v>241.90289306640625</v>
      </c>
      <c r="P30" s="2">
        <v>282.20175170898438</v>
      </c>
      <c r="Q30" s="2">
        <v>309.17324829101562</v>
      </c>
      <c r="R30" s="2">
        <v>270.79531860351562</v>
      </c>
      <c r="S30" s="1">
        <v>11</v>
      </c>
      <c r="T30" s="1">
        <v>19</v>
      </c>
      <c r="U30" s="1">
        <v>25</v>
      </c>
      <c r="V30">
        <v>276.53021240234375</v>
      </c>
      <c r="W30">
        <v>2.5</v>
      </c>
      <c r="X30" s="2">
        <f>draft_board[[#This Row],[expected_ppg]]-draft_board[[#This Row],[median_ppg]]</f>
        <v>-0.67096665326286598</v>
      </c>
      <c r="Y30">
        <v>14.5</v>
      </c>
      <c r="AB30"/>
      <c r="AG30"/>
      <c r="AK30"/>
      <c r="AL30"/>
      <c r="AM30"/>
      <c r="AO30"/>
    </row>
    <row r="31" spans="1:41" x14ac:dyDescent="0.2">
      <c r="A31" t="s">
        <v>311</v>
      </c>
      <c r="B31" t="s">
        <v>312</v>
      </c>
      <c r="C31" t="s">
        <v>88</v>
      </c>
      <c r="D31" t="s">
        <v>45</v>
      </c>
      <c r="E31" s="3">
        <v>172.25</v>
      </c>
      <c r="F31">
        <v>4</v>
      </c>
      <c r="G31" s="1">
        <v>22</v>
      </c>
      <c r="H31" s="1">
        <v>17</v>
      </c>
      <c r="I31" s="1">
        <v>17</v>
      </c>
      <c r="J31" s="1">
        <f>I31-G31</f>
        <v>-5</v>
      </c>
      <c r="K31" s="2">
        <v>12.201442942899817</v>
      </c>
      <c r="L31" s="2">
        <v>15.867621926700368</v>
      </c>
      <c r="M31" s="2">
        <v>18.811868106617649</v>
      </c>
      <c r="N31" s="2">
        <v>15.922422521254596</v>
      </c>
      <c r="O31" s="2">
        <v>207.42453002929688</v>
      </c>
      <c r="P31" s="2">
        <v>269.74957275390625</v>
      </c>
      <c r="Q31" s="2">
        <v>319.8017578125</v>
      </c>
      <c r="R31" s="2">
        <v>270.68118286132812</v>
      </c>
      <c r="S31" s="1">
        <v>17</v>
      </c>
      <c r="T31" s="1">
        <v>14</v>
      </c>
      <c r="U31" s="1">
        <v>26</v>
      </c>
      <c r="V31">
        <v>272.76602478027343</v>
      </c>
      <c r="W31">
        <v>2.4</v>
      </c>
      <c r="X31" s="2">
        <f>draft_board[[#This Row],[expected_ppg]]-draft_board[[#This Row],[median_ppg]]</f>
        <v>5.4800594554228255E-2</v>
      </c>
      <c r="Y31">
        <v>14.6</v>
      </c>
      <c r="AB31"/>
      <c r="AG31"/>
      <c r="AK31"/>
      <c r="AL31"/>
      <c r="AM31"/>
      <c r="AO31"/>
    </row>
    <row r="32" spans="1:41" x14ac:dyDescent="0.2">
      <c r="A32" t="s">
        <v>289</v>
      </c>
      <c r="B32" t="s">
        <v>290</v>
      </c>
      <c r="C32" t="s">
        <v>88</v>
      </c>
      <c r="D32" t="s">
        <v>119</v>
      </c>
      <c r="E32" s="3">
        <v>143</v>
      </c>
      <c r="F32">
        <v>4</v>
      </c>
      <c r="G32" s="1">
        <v>19</v>
      </c>
      <c r="H32" s="1">
        <v>18</v>
      </c>
      <c r="I32" s="1">
        <v>19</v>
      </c>
      <c r="J32" s="1">
        <f>I32-G32</f>
        <v>0</v>
      </c>
      <c r="K32" s="2">
        <v>14.329480339499082</v>
      </c>
      <c r="L32" s="2">
        <v>15.712693158318014</v>
      </c>
      <c r="M32" s="2">
        <v>17.203697653377759</v>
      </c>
      <c r="N32" s="2">
        <v>15.790748147403493</v>
      </c>
      <c r="O32" s="2">
        <v>243.60116577148438</v>
      </c>
      <c r="P32" s="2">
        <v>267.11578369140625</v>
      </c>
      <c r="Q32" s="2">
        <v>292.46286010742188</v>
      </c>
      <c r="R32" s="2">
        <v>268.44271850585938</v>
      </c>
      <c r="S32" s="1">
        <v>10</v>
      </c>
      <c r="T32" s="1">
        <v>24</v>
      </c>
      <c r="U32" s="1">
        <v>27</v>
      </c>
      <c r="V32">
        <v>270.68045043945312</v>
      </c>
      <c r="W32">
        <v>2.4</v>
      </c>
      <c r="X32" s="2">
        <f>draft_board[[#This Row],[expected_ppg]]-draft_board[[#This Row],[median_ppg]]</f>
        <v>7.8054989085478255E-2</v>
      </c>
      <c r="Y32">
        <v>14.6</v>
      </c>
      <c r="AB32"/>
      <c r="AG32"/>
      <c r="AK32"/>
      <c r="AL32"/>
      <c r="AM32"/>
      <c r="AO32"/>
    </row>
    <row r="33" spans="1:41" x14ac:dyDescent="0.2">
      <c r="A33" t="s">
        <v>359</v>
      </c>
      <c r="B33" t="s">
        <v>360</v>
      </c>
      <c r="C33" t="s">
        <v>88</v>
      </c>
      <c r="D33" t="s">
        <v>85</v>
      </c>
      <c r="E33" s="3">
        <v>231.75</v>
      </c>
      <c r="F33">
        <v>4</v>
      </c>
      <c r="G33" s="1">
        <v>30</v>
      </c>
      <c r="H33" s="1">
        <v>19</v>
      </c>
      <c r="I33" s="1">
        <v>20</v>
      </c>
      <c r="J33" s="1">
        <f>I33-G33</f>
        <v>-10</v>
      </c>
      <c r="K33" s="2">
        <v>11.63832810345818</v>
      </c>
      <c r="L33" s="2">
        <v>15.410728903377757</v>
      </c>
      <c r="M33" s="2">
        <v>16.799300249885111</v>
      </c>
      <c r="N33" s="2">
        <v>15.694016400505514</v>
      </c>
      <c r="O33" s="2">
        <v>197.85157775878906</v>
      </c>
      <c r="P33" s="2">
        <v>261.98239135742188</v>
      </c>
      <c r="Q33" s="2">
        <v>285.58810424804688</v>
      </c>
      <c r="R33" s="2">
        <v>266.79827880859375</v>
      </c>
      <c r="S33" s="1">
        <v>18</v>
      </c>
      <c r="T33" s="1">
        <v>28</v>
      </c>
      <c r="U33" s="1">
        <v>29</v>
      </c>
      <c r="V33">
        <v>258.64588623046876</v>
      </c>
      <c r="W33">
        <v>0.4</v>
      </c>
      <c r="X33" s="2">
        <f>draft_board[[#This Row],[expected_ppg]]-draft_board[[#This Row],[median_ppg]]</f>
        <v>0.28328749712775725</v>
      </c>
      <c r="Y33">
        <v>16.600000000000001</v>
      </c>
      <c r="AB33"/>
      <c r="AG33"/>
      <c r="AK33"/>
      <c r="AL33"/>
      <c r="AM33"/>
      <c r="AO33"/>
    </row>
    <row r="34" spans="1:41" hidden="1" x14ac:dyDescent="0.2">
      <c r="A34" s="4" t="s">
        <v>94</v>
      </c>
      <c r="B34" s="4" t="s">
        <v>95</v>
      </c>
      <c r="C34" s="4" t="s">
        <v>32</v>
      </c>
      <c r="D34" s="4" t="s">
        <v>50</v>
      </c>
      <c r="E34" s="6">
        <v>23</v>
      </c>
      <c r="F34" s="4">
        <v>2</v>
      </c>
      <c r="G34" s="5">
        <v>10</v>
      </c>
      <c r="H34" s="5">
        <v>6</v>
      </c>
      <c r="I34" s="5">
        <v>7</v>
      </c>
      <c r="J34" s="5">
        <f>I34-G34</f>
        <v>-3</v>
      </c>
      <c r="K34" s="7">
        <v>12.37730048684513</v>
      </c>
      <c r="L34" s="7">
        <v>14.861152200137868</v>
      </c>
      <c r="M34" s="7">
        <v>17.950697954963236</v>
      </c>
      <c r="N34" s="7">
        <v>14.318933843383103</v>
      </c>
      <c r="O34" s="7">
        <v>210.41410827636719</v>
      </c>
      <c r="P34" s="7">
        <v>252.63958740234375</v>
      </c>
      <c r="Q34" s="7">
        <v>305.161865234375</v>
      </c>
      <c r="R34" s="7">
        <v>243.42187533751274</v>
      </c>
      <c r="S34" s="5">
        <v>6</v>
      </c>
      <c r="T34" s="5">
        <v>6</v>
      </c>
      <c r="U34" s="5">
        <v>34</v>
      </c>
      <c r="V34" s="4">
        <v>255.34231889434233</v>
      </c>
      <c r="W34" s="4">
        <v>1.2</v>
      </c>
      <c r="X34" s="7">
        <f>draft_board[[#This Row],[expected_ppg]]-draft_board[[#This Row],[median_ppg]]</f>
        <v>-0.54221835675476449</v>
      </c>
      <c r="Y34" s="4">
        <v>15.8</v>
      </c>
      <c r="AB34"/>
      <c r="AG34"/>
      <c r="AK34"/>
      <c r="AL34"/>
      <c r="AM34"/>
      <c r="AO34"/>
    </row>
    <row r="35" spans="1:41" x14ac:dyDescent="0.2">
      <c r="A35" t="s">
        <v>331</v>
      </c>
      <c r="B35" t="s">
        <v>332</v>
      </c>
      <c r="C35" t="s">
        <v>88</v>
      </c>
      <c r="D35" t="s">
        <v>91</v>
      </c>
      <c r="E35" s="3">
        <v>185</v>
      </c>
      <c r="F35">
        <v>4</v>
      </c>
      <c r="G35" s="1">
        <v>24</v>
      </c>
      <c r="H35" s="1">
        <v>20</v>
      </c>
      <c r="I35" s="1">
        <v>24</v>
      </c>
      <c r="J35" s="1">
        <f>I35-G35</f>
        <v>0</v>
      </c>
      <c r="K35" s="2">
        <v>11.33506415872013</v>
      </c>
      <c r="L35" s="2">
        <v>14.064130895278034</v>
      </c>
      <c r="M35" s="2">
        <v>18.114220114315259</v>
      </c>
      <c r="N35" s="2">
        <v>14.613291123334099</v>
      </c>
      <c r="O35" s="2">
        <v>192.69609069824219</v>
      </c>
      <c r="P35" s="2">
        <v>239.09022521972656</v>
      </c>
      <c r="Q35" s="2">
        <v>307.94174194335938</v>
      </c>
      <c r="R35" s="2">
        <v>248.42594909667969</v>
      </c>
      <c r="S35" s="1">
        <v>20</v>
      </c>
      <c r="T35" s="1">
        <v>20</v>
      </c>
      <c r="U35" s="1">
        <v>33</v>
      </c>
      <c r="V35">
        <v>255.13471527099608</v>
      </c>
      <c r="W35">
        <v>1.2</v>
      </c>
      <c r="X35" s="2">
        <f>draft_board[[#This Row],[expected_ppg]]-draft_board[[#This Row],[median_ppg]]</f>
        <v>0.54916022805606524</v>
      </c>
      <c r="Y35">
        <v>15.8</v>
      </c>
      <c r="AB35"/>
      <c r="AG35"/>
      <c r="AK35"/>
      <c r="AL35"/>
      <c r="AM35"/>
      <c r="AO35"/>
    </row>
    <row r="36" spans="1:41" hidden="1" x14ac:dyDescent="0.2">
      <c r="A36" s="4" t="s">
        <v>113</v>
      </c>
      <c r="B36" s="4" t="s">
        <v>114</v>
      </c>
      <c r="C36" s="4" t="s">
        <v>32</v>
      </c>
      <c r="D36" s="4" t="s">
        <v>81</v>
      </c>
      <c r="E36" s="6">
        <v>35.5</v>
      </c>
      <c r="F36" s="4">
        <v>2</v>
      </c>
      <c r="G36" s="5">
        <v>15</v>
      </c>
      <c r="H36" s="5">
        <v>7</v>
      </c>
      <c r="I36" s="5">
        <v>9</v>
      </c>
      <c r="J36" s="5">
        <f>I36-G36</f>
        <v>-6</v>
      </c>
      <c r="K36" s="7">
        <v>11.779636158662683</v>
      </c>
      <c r="L36" s="7">
        <v>14.083922442267923</v>
      </c>
      <c r="M36" s="7">
        <v>17.394890280330884</v>
      </c>
      <c r="N36" s="7">
        <v>14.222896664276</v>
      </c>
      <c r="O36" s="7">
        <v>200.25381469726562</v>
      </c>
      <c r="P36" s="7">
        <v>239.42668151855469</v>
      </c>
      <c r="Q36" s="7">
        <v>295.713134765625</v>
      </c>
      <c r="R36" s="7">
        <v>241.78924329269128</v>
      </c>
      <c r="S36" s="5">
        <v>9</v>
      </c>
      <c r="T36" s="5">
        <v>9</v>
      </c>
      <c r="U36" s="5">
        <v>35</v>
      </c>
      <c r="V36" s="4">
        <v>249.65932501548627</v>
      </c>
      <c r="W36" s="4">
        <v>1.3</v>
      </c>
      <c r="X36" s="7">
        <f>draft_board[[#This Row],[expected_ppg]]-draft_board[[#This Row],[median_ppg]]</f>
        <v>0.13897422200807696</v>
      </c>
      <c r="Y36" s="4">
        <v>15.7</v>
      </c>
      <c r="AB36"/>
      <c r="AG36"/>
      <c r="AK36"/>
      <c r="AL36"/>
      <c r="AM36"/>
      <c r="AO36"/>
    </row>
    <row r="37" spans="1:41" hidden="1" x14ac:dyDescent="0.2">
      <c r="A37" t="s">
        <v>48</v>
      </c>
      <c r="B37" t="s">
        <v>49</v>
      </c>
      <c r="C37" t="s">
        <v>32</v>
      </c>
      <c r="D37" t="s">
        <v>50</v>
      </c>
      <c r="E37" s="3">
        <v>9</v>
      </c>
      <c r="F37">
        <v>2</v>
      </c>
      <c r="G37" s="1">
        <v>5</v>
      </c>
      <c r="H37" s="1">
        <v>8</v>
      </c>
      <c r="I37" s="1">
        <v>5</v>
      </c>
      <c r="J37" s="1">
        <f>I37-G37</f>
        <v>0</v>
      </c>
      <c r="K37" s="2">
        <v>11.113696827607995</v>
      </c>
      <c r="L37" s="2">
        <v>15.279970056870404</v>
      </c>
      <c r="M37" s="2">
        <v>17.296429802389707</v>
      </c>
      <c r="N37" s="2">
        <v>14.185032129008198</v>
      </c>
      <c r="O37" s="2">
        <v>188.93284606933594</v>
      </c>
      <c r="P37" s="2">
        <v>259.75949096679688</v>
      </c>
      <c r="Q37" s="2">
        <v>294.039306640625</v>
      </c>
      <c r="R37" s="2">
        <v>241.14554619313935</v>
      </c>
      <c r="S37" s="1">
        <v>12</v>
      </c>
      <c r="T37" s="1">
        <v>10</v>
      </c>
      <c r="U37" s="1">
        <v>36</v>
      </c>
      <c r="V37">
        <v>246.57113430262436</v>
      </c>
      <c r="W37">
        <v>2.2999999999999998</v>
      </c>
      <c r="X37" s="2">
        <f>draft_board[[#This Row],[expected_ppg]]-draft_board[[#This Row],[median_ppg]]</f>
        <v>-1.0949379278622065</v>
      </c>
      <c r="Y37">
        <v>14.7</v>
      </c>
      <c r="AB37"/>
      <c r="AG37"/>
      <c r="AK37"/>
      <c r="AL37"/>
      <c r="AM37"/>
      <c r="AO37"/>
    </row>
    <row r="38" spans="1:41" x14ac:dyDescent="0.2">
      <c r="A38" t="s">
        <v>327</v>
      </c>
      <c r="B38" t="s">
        <v>328</v>
      </c>
      <c r="C38" t="s">
        <v>88</v>
      </c>
      <c r="D38" t="s">
        <v>39</v>
      </c>
      <c r="E38" s="3">
        <v>183</v>
      </c>
      <c r="F38">
        <v>4</v>
      </c>
      <c r="G38" s="1">
        <v>23</v>
      </c>
      <c r="H38" s="1">
        <v>21</v>
      </c>
      <c r="I38" s="1">
        <v>21</v>
      </c>
      <c r="J38" s="1">
        <f>I38-G38</f>
        <v>-2</v>
      </c>
      <c r="K38" s="2">
        <v>12.359806733972887</v>
      </c>
      <c r="L38" s="2">
        <v>15.014108994427849</v>
      </c>
      <c r="M38" s="2">
        <v>17.708910773782168</v>
      </c>
      <c r="N38" s="2">
        <v>14.101855109719668</v>
      </c>
      <c r="O38" s="2">
        <v>210.11671447753906</v>
      </c>
      <c r="P38" s="2">
        <v>255.23985290527344</v>
      </c>
      <c r="Q38" s="2">
        <v>301.05148315429688</v>
      </c>
      <c r="R38" s="2">
        <v>239.73153686523438</v>
      </c>
      <c r="S38" s="1">
        <v>16</v>
      </c>
      <c r="T38" s="1">
        <v>22</v>
      </c>
      <c r="U38" s="1">
        <v>38</v>
      </c>
      <c r="V38">
        <v>252.20455627441407</v>
      </c>
      <c r="W38">
        <v>1.4</v>
      </c>
      <c r="X38" s="2">
        <f>draft_board[[#This Row],[expected_ppg]]-draft_board[[#This Row],[median_ppg]]</f>
        <v>-0.91225388470818025</v>
      </c>
      <c r="Y38">
        <v>15.6</v>
      </c>
      <c r="AB38"/>
      <c r="AG38"/>
      <c r="AK38"/>
      <c r="AL38"/>
      <c r="AM38"/>
      <c r="AO38"/>
    </row>
    <row r="39" spans="1:41" s="4" customFormat="1" x14ac:dyDescent="0.2">
      <c r="A39" t="s">
        <v>341</v>
      </c>
      <c r="B39" t="s">
        <v>342</v>
      </c>
      <c r="C39" t="s">
        <v>88</v>
      </c>
      <c r="D39" t="s">
        <v>126</v>
      </c>
      <c r="E39" s="3">
        <v>211</v>
      </c>
      <c r="F39">
        <v>5</v>
      </c>
      <c r="G39" s="1">
        <v>27</v>
      </c>
      <c r="H39" s="1">
        <v>25</v>
      </c>
      <c r="I39" s="1">
        <v>26</v>
      </c>
      <c r="J39" s="1">
        <f>I39-G39</f>
        <v>-1</v>
      </c>
      <c r="K39" s="2">
        <v>11.403480080997243</v>
      </c>
      <c r="L39" s="2">
        <v>13.942685295553769</v>
      </c>
      <c r="M39" s="2">
        <v>16.985179227941178</v>
      </c>
      <c r="N39" s="2">
        <v>13.657371969784007</v>
      </c>
      <c r="O39" s="2">
        <v>193.85916137695312</v>
      </c>
      <c r="P39" s="2">
        <v>237.02565002441406</v>
      </c>
      <c r="Q39" s="2">
        <v>288.748046875</v>
      </c>
      <c r="R39" s="2">
        <v>232.17532348632812</v>
      </c>
      <c r="S39" s="1">
        <v>19</v>
      </c>
      <c r="T39" s="1">
        <v>26</v>
      </c>
      <c r="U39" s="1">
        <v>43</v>
      </c>
      <c r="V39">
        <v>241.48390808105469</v>
      </c>
      <c r="W39">
        <v>1.8</v>
      </c>
      <c r="X39" s="2">
        <f>draft_board[[#This Row],[expected_ppg]]-draft_board[[#This Row],[median_ppg]]</f>
        <v>-0.28531332576976176</v>
      </c>
      <c r="Y39">
        <v>15.2</v>
      </c>
    </row>
    <row r="40" spans="1:41" s="4" customFormat="1" hidden="1" x14ac:dyDescent="0.2">
      <c r="A40" s="8" t="s">
        <v>54</v>
      </c>
      <c r="B40" s="8" t="s">
        <v>55</v>
      </c>
      <c r="C40" s="8" t="s">
        <v>32</v>
      </c>
      <c r="D40" s="8" t="s">
        <v>56</v>
      </c>
      <c r="E40" s="10">
        <v>10.75</v>
      </c>
      <c r="F40" s="8">
        <v>2</v>
      </c>
      <c r="G40" s="9">
        <v>6</v>
      </c>
      <c r="H40" s="9">
        <v>9</v>
      </c>
      <c r="I40" s="9">
        <v>11</v>
      </c>
      <c r="J40" s="9">
        <f>I40-G40</f>
        <v>5</v>
      </c>
      <c r="K40" s="11">
        <v>10.368174833409926</v>
      </c>
      <c r="L40" s="11">
        <v>13.523858463062959</v>
      </c>
      <c r="M40" s="11">
        <v>16.497265984030332</v>
      </c>
      <c r="N40" s="11">
        <v>14.150209430572685</v>
      </c>
      <c r="O40" s="11">
        <v>176.25897216796875</v>
      </c>
      <c r="P40" s="11">
        <v>229.90559387207031</v>
      </c>
      <c r="Q40" s="11">
        <v>280.45352172851562</v>
      </c>
      <c r="R40" s="11">
        <v>240.55356031973565</v>
      </c>
      <c r="S40" s="9">
        <v>15</v>
      </c>
      <c r="T40" s="9">
        <v>13</v>
      </c>
      <c r="U40" s="9">
        <v>37</v>
      </c>
      <c r="V40" s="8">
        <v>239.66463111201625</v>
      </c>
      <c r="W40" s="8">
        <v>0.5</v>
      </c>
      <c r="X40" s="11">
        <f>draft_board[[#This Row],[expected_ppg]]-draft_board[[#This Row],[median_ppg]]</f>
        <v>0.62635096750972608</v>
      </c>
      <c r="Y40" s="8">
        <v>16.5</v>
      </c>
    </row>
    <row r="41" spans="1:41" s="8" customFormat="1" x14ac:dyDescent="0.2">
      <c r="A41" t="s">
        <v>477</v>
      </c>
      <c r="B41" t="s">
        <v>478</v>
      </c>
      <c r="C41" t="s">
        <v>88</v>
      </c>
      <c r="D41" t="s">
        <v>156</v>
      </c>
      <c r="E41" s="3"/>
      <c r="F41">
        <v>5</v>
      </c>
      <c r="G41" s="1"/>
      <c r="H41" s="1">
        <v>23</v>
      </c>
      <c r="I41" s="1">
        <v>23</v>
      </c>
      <c r="J41" s="1">
        <f>I41-G41</f>
        <v>23</v>
      </c>
      <c r="K41" s="2">
        <v>6.8638121661017921</v>
      </c>
      <c r="L41" s="2">
        <v>14.194704841164981</v>
      </c>
      <c r="M41" s="2">
        <v>18.694684196920957</v>
      </c>
      <c r="N41" s="2">
        <v>13.958976296817555</v>
      </c>
      <c r="O41" s="2">
        <v>116.68480682373047</v>
      </c>
      <c r="P41" s="2">
        <v>241.30998229980469</v>
      </c>
      <c r="Q41" s="2">
        <v>317.80963134765625</v>
      </c>
      <c r="R41" s="2">
        <v>237.30259704589844</v>
      </c>
      <c r="S41" s="1">
        <v>33</v>
      </c>
      <c r="T41" s="1">
        <v>16</v>
      </c>
      <c r="U41" s="1">
        <v>40</v>
      </c>
      <c r="V41">
        <v>237.33114929199218</v>
      </c>
      <c r="W41">
        <v>3</v>
      </c>
      <c r="X41" s="2">
        <f>draft_board[[#This Row],[expected_ppg]]-draft_board[[#This Row],[median_ppg]]</f>
        <v>-0.23572854434742574</v>
      </c>
      <c r="Y41">
        <v>14</v>
      </c>
    </row>
    <row r="42" spans="1:41" s="8" customFormat="1" hidden="1" x14ac:dyDescent="0.2">
      <c r="A42" s="4" t="s">
        <v>98</v>
      </c>
      <c r="B42" s="4" t="s">
        <v>99</v>
      </c>
      <c r="C42" s="4" t="s">
        <v>32</v>
      </c>
      <c r="D42" s="4" t="s">
        <v>100</v>
      </c>
      <c r="E42" s="6">
        <v>27.5</v>
      </c>
      <c r="F42" s="4">
        <v>2</v>
      </c>
      <c r="G42" s="5">
        <v>12</v>
      </c>
      <c r="H42" s="5">
        <v>10</v>
      </c>
      <c r="I42" s="5">
        <v>8</v>
      </c>
      <c r="J42" s="5">
        <f>I42-G42</f>
        <v>-4</v>
      </c>
      <c r="K42" s="7">
        <v>11.66793015423943</v>
      </c>
      <c r="L42" s="7">
        <v>14.479577457203584</v>
      </c>
      <c r="M42" s="7">
        <v>17.055500703699447</v>
      </c>
      <c r="N42" s="7">
        <v>13.746381611552655</v>
      </c>
      <c r="O42" s="7">
        <v>198.35481262207031</v>
      </c>
      <c r="P42" s="7">
        <v>246.15281677246094</v>
      </c>
      <c r="Q42" s="7">
        <v>289.94351196289062</v>
      </c>
      <c r="R42" s="7">
        <v>233.68848739639515</v>
      </c>
      <c r="S42" s="5">
        <v>10</v>
      </c>
      <c r="T42" s="5">
        <v>11</v>
      </c>
      <c r="U42" s="5">
        <v>41</v>
      </c>
      <c r="V42" s="4">
        <v>243.49825981147882</v>
      </c>
      <c r="W42" s="4">
        <v>2.2000000000000002</v>
      </c>
      <c r="X42" s="7">
        <f>draft_board[[#This Row],[expected_ppg]]-draft_board[[#This Row],[median_ppg]]</f>
        <v>-0.7331958456509291</v>
      </c>
      <c r="Y42" s="4">
        <v>14.8</v>
      </c>
    </row>
    <row r="43" spans="1:41" hidden="1" x14ac:dyDescent="0.2">
      <c r="A43" t="s">
        <v>104</v>
      </c>
      <c r="B43" t="s">
        <v>105</v>
      </c>
      <c r="C43" t="s">
        <v>25</v>
      </c>
      <c r="D43" t="s">
        <v>106</v>
      </c>
      <c r="E43" s="3">
        <v>33</v>
      </c>
      <c r="F43">
        <v>3</v>
      </c>
      <c r="G43" s="1">
        <v>14</v>
      </c>
      <c r="H43" s="1">
        <v>8</v>
      </c>
      <c r="I43" s="1">
        <v>16</v>
      </c>
      <c r="J43" s="1">
        <f>I43-G43</f>
        <v>2</v>
      </c>
      <c r="K43" s="2">
        <v>10.68290351418888</v>
      </c>
      <c r="L43" s="2">
        <v>12.76735642377068</v>
      </c>
      <c r="M43" s="2">
        <v>13.966561710133272</v>
      </c>
      <c r="N43" s="2">
        <v>13.651106922737375</v>
      </c>
      <c r="O43" s="2">
        <v>181.60935974121094</v>
      </c>
      <c r="P43" s="2">
        <v>217.04505920410156</v>
      </c>
      <c r="Q43" s="2">
        <v>237.43154907226562</v>
      </c>
      <c r="R43" s="2">
        <v>232.06881768653537</v>
      </c>
      <c r="S43" s="1">
        <v>15</v>
      </c>
      <c r="T43" s="1">
        <v>21</v>
      </c>
      <c r="U43" s="1">
        <v>44</v>
      </c>
      <c r="V43">
        <v>223.58574551318958</v>
      </c>
      <c r="W43">
        <v>1.4</v>
      </c>
      <c r="X43" s="2">
        <f>draft_board[[#This Row],[expected_ppg]]-draft_board[[#This Row],[median_ppg]]</f>
        <v>0.88375049896669466</v>
      </c>
      <c r="Y43">
        <v>15.6</v>
      </c>
      <c r="AB43"/>
      <c r="AG43"/>
      <c r="AK43"/>
      <c r="AL43"/>
      <c r="AM43"/>
      <c r="AO43"/>
    </row>
    <row r="44" spans="1:41" s="8" customFormat="1" x14ac:dyDescent="0.2">
      <c r="A44" t="s">
        <v>301</v>
      </c>
      <c r="B44" t="s">
        <v>302</v>
      </c>
      <c r="C44" t="s">
        <v>88</v>
      </c>
      <c r="D44" t="s">
        <v>100</v>
      </c>
      <c r="E44" s="3">
        <v>151</v>
      </c>
      <c r="F44">
        <v>5</v>
      </c>
      <c r="G44" s="1">
        <v>20</v>
      </c>
      <c r="H44" s="1">
        <v>22</v>
      </c>
      <c r="I44" s="1">
        <v>30</v>
      </c>
      <c r="J44" s="1">
        <f>I44-G44</f>
        <v>10</v>
      </c>
      <c r="K44" s="2">
        <v>9.229916740866269</v>
      </c>
      <c r="L44" s="2">
        <v>12.89518378762638</v>
      </c>
      <c r="M44" s="2">
        <v>16.637781479779413</v>
      </c>
      <c r="N44" s="2">
        <v>14.091503367704505</v>
      </c>
      <c r="O44" s="2">
        <v>156.90858459472656</v>
      </c>
      <c r="P44" s="2">
        <v>219.21812438964844</v>
      </c>
      <c r="Q44" s="2">
        <v>282.84228515625</v>
      </c>
      <c r="R44" s="2">
        <v>239.55555725097656</v>
      </c>
      <c r="S44" s="1">
        <v>24</v>
      </c>
      <c r="T44" s="1">
        <v>30</v>
      </c>
      <c r="U44" s="1">
        <v>39</v>
      </c>
      <c r="V44">
        <v>236.01218109130861</v>
      </c>
      <c r="W44">
        <v>0.5</v>
      </c>
      <c r="X44" s="2">
        <f>draft_board[[#This Row],[expected_ppg]]-draft_board[[#This Row],[median_ppg]]</f>
        <v>1.196319580078125</v>
      </c>
      <c r="Y44">
        <v>16.5</v>
      </c>
    </row>
    <row r="45" spans="1:41" s="4" customFormat="1" hidden="1" x14ac:dyDescent="0.2">
      <c r="A45" t="s">
        <v>89</v>
      </c>
      <c r="B45" t="s">
        <v>90</v>
      </c>
      <c r="C45" t="s">
        <v>32</v>
      </c>
      <c r="D45" t="s">
        <v>91</v>
      </c>
      <c r="E45" s="3">
        <v>22.5</v>
      </c>
      <c r="F45">
        <v>2</v>
      </c>
      <c r="G45" s="1">
        <v>9</v>
      </c>
      <c r="H45" s="1">
        <v>11</v>
      </c>
      <c r="I45" s="1">
        <v>10</v>
      </c>
      <c r="J45" s="1">
        <f>I45-G45</f>
        <v>1</v>
      </c>
      <c r="K45" s="2">
        <v>11.793146470013786</v>
      </c>
      <c r="L45" s="2">
        <v>13.909750545726103</v>
      </c>
      <c r="M45" s="2">
        <v>16.988292020909928</v>
      </c>
      <c r="N45" s="2">
        <v>13.521331431688452</v>
      </c>
      <c r="O45" s="2">
        <v>200.48348999023438</v>
      </c>
      <c r="P45" s="2">
        <v>236.46575927734375</v>
      </c>
      <c r="Q45" s="2">
        <v>288.80096435546875</v>
      </c>
      <c r="R45" s="2">
        <v>229.86263433870369</v>
      </c>
      <c r="S45" s="1">
        <v>8</v>
      </c>
      <c r="T45" s="1">
        <v>12</v>
      </c>
      <c r="U45" s="1">
        <v>45</v>
      </c>
      <c r="V45">
        <v>241.66830447403936</v>
      </c>
      <c r="W45">
        <v>1.3</v>
      </c>
      <c r="X45" s="2">
        <f>draft_board[[#This Row],[expected_ppg]]-draft_board[[#This Row],[median_ppg]]</f>
        <v>-0.38841911403765117</v>
      </c>
      <c r="Y45">
        <v>15.7</v>
      </c>
    </row>
    <row r="46" spans="1:41" x14ac:dyDescent="0.2">
      <c r="A46" t="s">
        <v>239</v>
      </c>
      <c r="B46" t="s">
        <v>240</v>
      </c>
      <c r="C46" t="s">
        <v>88</v>
      </c>
      <c r="D46" t="s">
        <v>42</v>
      </c>
      <c r="E46" s="3">
        <v>103.25</v>
      </c>
      <c r="F46">
        <v>5</v>
      </c>
      <c r="G46" s="1">
        <v>15</v>
      </c>
      <c r="H46" s="1">
        <v>26</v>
      </c>
      <c r="I46" s="1">
        <v>18</v>
      </c>
      <c r="J46" s="1">
        <f>I46-G46</f>
        <v>3</v>
      </c>
      <c r="K46" s="2">
        <v>7.5419832117417283</v>
      </c>
      <c r="L46" s="2">
        <v>15.724876852596507</v>
      </c>
      <c r="M46" s="2">
        <v>18.593250947840072</v>
      </c>
      <c r="N46" s="2">
        <v>13.287120145909926</v>
      </c>
      <c r="O46" s="2">
        <v>128.21371459960938</v>
      </c>
      <c r="P46" s="2">
        <v>267.32290649414062</v>
      </c>
      <c r="Q46" s="2">
        <v>316.08526611328125</v>
      </c>
      <c r="R46" s="2">
        <v>225.88104248046875</v>
      </c>
      <c r="S46" s="1">
        <v>30</v>
      </c>
      <c r="T46" s="1">
        <v>17</v>
      </c>
      <c r="U46" s="1">
        <v>49</v>
      </c>
      <c r="V46">
        <v>233.40884399414062</v>
      </c>
      <c r="W46">
        <v>2.7</v>
      </c>
      <c r="X46" s="2">
        <f>draft_board[[#This Row],[expected_ppg]]-draft_board[[#This Row],[median_ppg]]</f>
        <v>-2.4377567066865815</v>
      </c>
      <c r="Y46">
        <v>14.3</v>
      </c>
      <c r="AB46"/>
      <c r="AG46"/>
      <c r="AK46"/>
      <c r="AL46"/>
      <c r="AM46"/>
      <c r="AO46"/>
    </row>
    <row r="47" spans="1:41" hidden="1" x14ac:dyDescent="0.2">
      <c r="A47" t="s">
        <v>111</v>
      </c>
      <c r="B47" t="s">
        <v>112</v>
      </c>
      <c r="C47" t="s">
        <v>25</v>
      </c>
      <c r="D47" t="s">
        <v>36</v>
      </c>
      <c r="E47" s="3">
        <v>34.75</v>
      </c>
      <c r="F47">
        <v>3</v>
      </c>
      <c r="G47" s="1">
        <v>16</v>
      </c>
      <c r="H47" s="1">
        <v>9</v>
      </c>
      <c r="I47" s="1">
        <v>12</v>
      </c>
      <c r="J47" s="1">
        <f>I47-G47</f>
        <v>-4</v>
      </c>
      <c r="K47" s="2">
        <v>10.978858498965993</v>
      </c>
      <c r="L47" s="2">
        <v>13.584934010225183</v>
      </c>
      <c r="M47" s="2">
        <v>14.860681870404411</v>
      </c>
      <c r="N47" s="2">
        <v>13.362331387736205</v>
      </c>
      <c r="O47" s="2">
        <v>186.64059448242188</v>
      </c>
      <c r="P47" s="2">
        <v>230.94387817382812</v>
      </c>
      <c r="Q47" s="2">
        <v>252.631591796875</v>
      </c>
      <c r="R47" s="2">
        <v>227.15963359151547</v>
      </c>
      <c r="S47" s="1">
        <v>12</v>
      </c>
      <c r="T47" s="1">
        <v>17</v>
      </c>
      <c r="U47" s="1">
        <v>46</v>
      </c>
      <c r="V47">
        <v>226.69741323130461</v>
      </c>
      <c r="W47">
        <v>1.7</v>
      </c>
      <c r="X47" s="2">
        <f>draft_board[[#This Row],[expected_ppg]]-draft_board[[#This Row],[median_ppg]]</f>
        <v>-0.22260262248897789</v>
      </c>
      <c r="Y47">
        <v>15.3</v>
      </c>
      <c r="AB47"/>
      <c r="AG47"/>
      <c r="AK47"/>
      <c r="AL47"/>
      <c r="AM47"/>
      <c r="AO47"/>
    </row>
    <row r="48" spans="1:41" x14ac:dyDescent="0.2">
      <c r="A48" t="s">
        <v>277</v>
      </c>
      <c r="B48" t="s">
        <v>278</v>
      </c>
      <c r="C48" t="s">
        <v>88</v>
      </c>
      <c r="D48" t="s">
        <v>56</v>
      </c>
      <c r="E48" s="3">
        <v>128.75</v>
      </c>
      <c r="F48">
        <v>5</v>
      </c>
      <c r="G48" s="1">
        <v>17</v>
      </c>
      <c r="H48" s="1">
        <v>24</v>
      </c>
      <c r="I48" s="1">
        <v>28</v>
      </c>
      <c r="J48" s="1">
        <f>I48-G48</f>
        <v>11</v>
      </c>
      <c r="K48" s="2">
        <v>7.2464550242704506</v>
      </c>
      <c r="L48" s="2">
        <v>13.772346047794118</v>
      </c>
      <c r="M48" s="2">
        <v>17.832239487591913</v>
      </c>
      <c r="N48" s="2">
        <v>13.734771728515625</v>
      </c>
      <c r="O48" s="2">
        <v>123.18973541259766</v>
      </c>
      <c r="P48" s="2">
        <v>234.1298828125</v>
      </c>
      <c r="Q48" s="2">
        <v>303.1480712890625</v>
      </c>
      <c r="R48" s="2">
        <v>233.49111938476562</v>
      </c>
      <c r="S48" s="1">
        <v>32</v>
      </c>
      <c r="T48" s="1">
        <v>21</v>
      </c>
      <c r="U48" s="1">
        <v>42</v>
      </c>
      <c r="V48">
        <v>232.32792816162109</v>
      </c>
      <c r="W48">
        <v>2.5</v>
      </c>
      <c r="X48" s="2">
        <f>draft_board[[#This Row],[expected_ppg]]-draft_board[[#This Row],[median_ppg]]</f>
        <v>-3.7574319278492752E-2</v>
      </c>
      <c r="Y48">
        <v>14.5</v>
      </c>
      <c r="AB48"/>
      <c r="AG48"/>
      <c r="AK48"/>
      <c r="AL48"/>
      <c r="AM48"/>
      <c r="AO48"/>
    </row>
    <row r="49" spans="1:41" x14ac:dyDescent="0.2">
      <c r="A49" t="s">
        <v>357</v>
      </c>
      <c r="B49" t="s">
        <v>358</v>
      </c>
      <c r="C49" t="s">
        <v>88</v>
      </c>
      <c r="D49" t="s">
        <v>199</v>
      </c>
      <c r="E49" s="3">
        <v>226.25</v>
      </c>
      <c r="F49">
        <v>5</v>
      </c>
      <c r="G49" s="1">
        <v>29</v>
      </c>
      <c r="H49" s="1">
        <v>27</v>
      </c>
      <c r="I49" s="1">
        <v>22</v>
      </c>
      <c r="J49" s="1">
        <f>I49-G49</f>
        <v>-7</v>
      </c>
      <c r="K49" s="2">
        <v>10.179998061236214</v>
      </c>
      <c r="L49" s="2">
        <v>14.849943273207721</v>
      </c>
      <c r="M49" s="2">
        <v>16.623660816865808</v>
      </c>
      <c r="N49" s="2">
        <v>13.05393622903263</v>
      </c>
      <c r="O49" s="2">
        <v>173.05996704101562</v>
      </c>
      <c r="P49" s="2">
        <v>252.44903564453125</v>
      </c>
      <c r="Q49" s="2">
        <v>282.60223388671875</v>
      </c>
      <c r="R49" s="2">
        <v>221.91691589355469</v>
      </c>
      <c r="S49" s="1">
        <v>22</v>
      </c>
      <c r="T49" s="1">
        <v>31</v>
      </c>
      <c r="U49" s="1">
        <v>53</v>
      </c>
      <c r="V49">
        <v>230.35112152099609</v>
      </c>
      <c r="W49">
        <v>2.9</v>
      </c>
      <c r="X49" s="2">
        <f>draft_board[[#This Row],[expected_ppg]]-draft_board[[#This Row],[median_ppg]]</f>
        <v>-1.7960070441750915</v>
      </c>
      <c r="Y49">
        <v>14.1</v>
      </c>
      <c r="AB49"/>
      <c r="AG49"/>
      <c r="AK49"/>
      <c r="AL49"/>
      <c r="AM49"/>
      <c r="AO49"/>
    </row>
    <row r="50" spans="1:41" x14ac:dyDescent="0.2">
      <c r="A50" t="s">
        <v>479</v>
      </c>
      <c r="B50" t="s">
        <v>480</v>
      </c>
      <c r="C50" t="s">
        <v>88</v>
      </c>
      <c r="D50" t="s">
        <v>220</v>
      </c>
      <c r="E50" s="3"/>
      <c r="F50">
        <v>5</v>
      </c>
      <c r="H50" s="1">
        <v>28</v>
      </c>
      <c r="I50" s="1">
        <v>27</v>
      </c>
      <c r="J50" s="1">
        <f>I50-G50</f>
        <v>27</v>
      </c>
      <c r="K50" s="2">
        <v>9.2218089384191178</v>
      </c>
      <c r="L50" s="2">
        <v>13.895068897920495</v>
      </c>
      <c r="M50" s="2">
        <v>17.019721536075366</v>
      </c>
      <c r="N50" s="2">
        <v>13.022190767176012</v>
      </c>
      <c r="O50" s="2">
        <v>156.770751953125</v>
      </c>
      <c r="P50" s="2">
        <v>236.21617126464844</v>
      </c>
      <c r="Q50" s="2">
        <v>289.33526611328125</v>
      </c>
      <c r="R50" s="2">
        <v>221.37724304199219</v>
      </c>
      <c r="S50" s="1">
        <v>25</v>
      </c>
      <c r="T50" s="1">
        <v>25</v>
      </c>
      <c r="U50" s="1">
        <v>54</v>
      </c>
      <c r="V50">
        <v>228.84335174560547</v>
      </c>
      <c r="X50" s="2">
        <f>draft_board[[#This Row],[expected_ppg]]-draft_board[[#This Row],[median_ppg]]</f>
        <v>-0.87287813074448373</v>
      </c>
      <c r="Y50">
        <v>16</v>
      </c>
      <c r="AB50"/>
      <c r="AG50"/>
      <c r="AK50"/>
      <c r="AL50"/>
      <c r="AM50"/>
      <c r="AO50"/>
    </row>
    <row r="51" spans="1:41" x14ac:dyDescent="0.2">
      <c r="A51" t="s">
        <v>403</v>
      </c>
      <c r="B51" t="s">
        <v>404</v>
      </c>
      <c r="C51" t="s">
        <v>88</v>
      </c>
      <c r="D51" t="s">
        <v>29</v>
      </c>
      <c r="E51" s="3">
        <v>277.5</v>
      </c>
      <c r="F51">
        <v>5</v>
      </c>
      <c r="G51" s="1">
        <v>31</v>
      </c>
      <c r="H51" s="1">
        <v>30</v>
      </c>
      <c r="I51" s="1">
        <v>31</v>
      </c>
      <c r="J51" s="1">
        <f>I51-G51</f>
        <v>0</v>
      </c>
      <c r="K51" s="2">
        <v>7.6608114803538605</v>
      </c>
      <c r="L51" s="2">
        <v>12.781670065487132</v>
      </c>
      <c r="M51" s="2">
        <v>16.871923110064337</v>
      </c>
      <c r="N51" s="2">
        <v>12.986496869255514</v>
      </c>
      <c r="O51" s="2">
        <v>130.23379516601562</v>
      </c>
      <c r="P51" s="2">
        <v>217.28839111328125</v>
      </c>
      <c r="Q51" s="2">
        <v>286.82269287109375</v>
      </c>
      <c r="R51" s="2">
        <v>220.77044677734375</v>
      </c>
      <c r="S51" s="1">
        <v>29</v>
      </c>
      <c r="T51" s="1">
        <v>27</v>
      </c>
      <c r="U51" s="1">
        <v>56</v>
      </c>
      <c r="V51">
        <v>222.47879028320312</v>
      </c>
      <c r="W51">
        <v>3.3</v>
      </c>
      <c r="X51" s="2">
        <f>draft_board[[#This Row],[expected_ppg]]-draft_board[[#This Row],[median_ppg]]</f>
        <v>0.20482680376838225</v>
      </c>
      <c r="Y51">
        <v>13.7</v>
      </c>
      <c r="AB51"/>
      <c r="AG51"/>
      <c r="AK51"/>
      <c r="AL51"/>
      <c r="AM51"/>
      <c r="AO51"/>
    </row>
    <row r="52" spans="1:41" x14ac:dyDescent="0.2">
      <c r="A52" t="s">
        <v>481</v>
      </c>
      <c r="B52" t="s">
        <v>482</v>
      </c>
      <c r="C52" t="s">
        <v>88</v>
      </c>
      <c r="D52" t="s">
        <v>56</v>
      </c>
      <c r="E52" s="3"/>
      <c r="F52">
        <v>5</v>
      </c>
      <c r="H52" s="1">
        <v>29</v>
      </c>
      <c r="I52" s="1">
        <v>29</v>
      </c>
      <c r="J52" s="1">
        <f>I52-G52</f>
        <v>29</v>
      </c>
      <c r="K52" s="2">
        <v>7.7096934599034928</v>
      </c>
      <c r="L52" s="2">
        <v>13.540577607996324</v>
      </c>
      <c r="M52" s="2">
        <v>16.391786463120404</v>
      </c>
      <c r="N52" s="2">
        <v>12.997959810144762</v>
      </c>
      <c r="O52" s="2">
        <v>131.06478881835938</v>
      </c>
      <c r="P52" s="2">
        <v>230.1898193359375</v>
      </c>
      <c r="Q52" s="2">
        <v>278.66036987304688</v>
      </c>
      <c r="R52" s="2">
        <v>220.96531677246094</v>
      </c>
      <c r="S52" s="1">
        <v>28</v>
      </c>
      <c r="T52" s="1">
        <v>32</v>
      </c>
      <c r="U52" s="1">
        <v>55</v>
      </c>
      <c r="V52">
        <v>220.29372711181642</v>
      </c>
      <c r="W52">
        <v>17</v>
      </c>
      <c r="X52" s="2">
        <f>draft_board[[#This Row],[expected_ppg]]-draft_board[[#This Row],[median_ppg]]</f>
        <v>-0.5426177978515625</v>
      </c>
      <c r="Y52">
        <v>0</v>
      </c>
      <c r="AB52"/>
      <c r="AG52"/>
      <c r="AK52"/>
      <c r="AL52"/>
      <c r="AM52"/>
      <c r="AO52"/>
    </row>
    <row r="53" spans="1:41" s="8" customFormat="1" x14ac:dyDescent="0.2">
      <c r="A53" t="s">
        <v>483</v>
      </c>
      <c r="B53" t="s">
        <v>484</v>
      </c>
      <c r="C53" t="s">
        <v>88</v>
      </c>
      <c r="D53" t="s">
        <v>72</v>
      </c>
      <c r="E53" s="3"/>
      <c r="F53">
        <v>5</v>
      </c>
      <c r="G53" s="1"/>
      <c r="H53" s="1">
        <v>31</v>
      </c>
      <c r="I53" s="1">
        <v>25</v>
      </c>
      <c r="J53" s="1">
        <f>I53-G53</f>
        <v>25</v>
      </c>
      <c r="K53" s="2">
        <v>6.0051884370691635</v>
      </c>
      <c r="L53" s="2">
        <v>13.965616562787224</v>
      </c>
      <c r="M53" s="2">
        <v>16.765379064223346</v>
      </c>
      <c r="N53" s="2">
        <v>12.732947854434743</v>
      </c>
      <c r="O53" s="2">
        <v>102.08820343017578</v>
      </c>
      <c r="P53" s="2">
        <v>237.41548156738281</v>
      </c>
      <c r="Q53" s="2">
        <v>285.01144409179688</v>
      </c>
      <c r="R53" s="2">
        <v>216.46011352539062</v>
      </c>
      <c r="S53" s="1">
        <v>34</v>
      </c>
      <c r="T53" s="1">
        <v>29</v>
      </c>
      <c r="U53" s="1">
        <v>59</v>
      </c>
      <c r="V53">
        <v>214.15113067626953</v>
      </c>
      <c r="W53">
        <v>1.4</v>
      </c>
      <c r="X53" s="2">
        <f>draft_board[[#This Row],[expected_ppg]]-draft_board[[#This Row],[median_ppg]]</f>
        <v>-1.232668708352481</v>
      </c>
      <c r="Y53">
        <v>15.6</v>
      </c>
    </row>
    <row r="54" spans="1:41" hidden="1" x14ac:dyDescent="0.2">
      <c r="A54" t="s">
        <v>68</v>
      </c>
      <c r="B54" t="s">
        <v>69</v>
      </c>
      <c r="C54" t="s">
        <v>25</v>
      </c>
      <c r="D54" t="s">
        <v>33</v>
      </c>
      <c r="E54" s="3">
        <v>16.5</v>
      </c>
      <c r="F54">
        <v>3</v>
      </c>
      <c r="G54" s="1">
        <v>9</v>
      </c>
      <c r="H54" s="1">
        <v>10</v>
      </c>
      <c r="I54" s="1">
        <v>21</v>
      </c>
      <c r="J54" s="1">
        <f>I54-G54</f>
        <v>12</v>
      </c>
      <c r="K54" s="2">
        <v>10.739382575539981</v>
      </c>
      <c r="L54" s="2">
        <v>11.163308536305147</v>
      </c>
      <c r="M54" s="2">
        <v>15.331943287568899</v>
      </c>
      <c r="N54" s="2">
        <v>13.350191545359378</v>
      </c>
      <c r="O54" s="2">
        <v>182.56950378417969</v>
      </c>
      <c r="P54" s="2">
        <v>189.7762451171875</v>
      </c>
      <c r="Q54" s="2">
        <v>260.64303588867188</v>
      </c>
      <c r="R54" s="2">
        <v>226.95325627110941</v>
      </c>
      <c r="S54" s="1">
        <v>14</v>
      </c>
      <c r="T54" s="1">
        <v>16</v>
      </c>
      <c r="U54" s="1">
        <v>47</v>
      </c>
      <c r="V54">
        <v>228.1834396589922</v>
      </c>
      <c r="W54">
        <v>1.5</v>
      </c>
      <c r="X54" s="2">
        <f>draft_board[[#This Row],[expected_ppg]]-draft_board[[#This Row],[median_ppg]]</f>
        <v>2.1868830090542311</v>
      </c>
      <c r="Y54">
        <v>15.5</v>
      </c>
      <c r="AB54"/>
      <c r="AG54"/>
      <c r="AK54"/>
      <c r="AL54"/>
      <c r="AM54"/>
      <c r="AO54"/>
    </row>
    <row r="55" spans="1:41" s="8" customFormat="1" hidden="1" x14ac:dyDescent="0.2">
      <c r="A55" s="4" t="s">
        <v>109</v>
      </c>
      <c r="B55" s="4" t="s">
        <v>110</v>
      </c>
      <c r="C55" s="4" t="s">
        <v>25</v>
      </c>
      <c r="D55" s="4" t="s">
        <v>50</v>
      </c>
      <c r="E55" s="6">
        <v>34.25</v>
      </c>
      <c r="F55" s="4">
        <v>3</v>
      </c>
      <c r="G55" s="5">
        <v>15</v>
      </c>
      <c r="H55" s="5">
        <v>11</v>
      </c>
      <c r="I55" s="5">
        <v>7</v>
      </c>
      <c r="J55" s="5">
        <f>I55-G55</f>
        <v>-8</v>
      </c>
      <c r="K55" s="7">
        <v>11.688863417681526</v>
      </c>
      <c r="L55" s="7">
        <v>14.849213544060202</v>
      </c>
      <c r="M55" s="7">
        <v>16.536551082835476</v>
      </c>
      <c r="N55" s="7">
        <v>13.308587190529886</v>
      </c>
      <c r="O55" s="7">
        <v>198.71067810058594</v>
      </c>
      <c r="P55" s="7">
        <v>252.43663024902344</v>
      </c>
      <c r="Q55" s="7">
        <v>281.12136840820312</v>
      </c>
      <c r="R55" s="7">
        <v>226.24598223900807</v>
      </c>
      <c r="S55" s="5">
        <v>6</v>
      </c>
      <c r="T55" s="5">
        <v>10</v>
      </c>
      <c r="U55" s="5">
        <v>48</v>
      </c>
      <c r="V55" s="4">
        <v>237.20153726208216</v>
      </c>
      <c r="W55" s="4">
        <v>1.9</v>
      </c>
      <c r="X55" s="7">
        <f>draft_board[[#This Row],[expected_ppg]]-draft_board[[#This Row],[median_ppg]]</f>
        <v>-1.5406263535303157</v>
      </c>
      <c r="Y55" s="4">
        <v>15.1</v>
      </c>
    </row>
    <row r="56" spans="1:41" hidden="1" x14ac:dyDescent="0.2">
      <c r="A56" t="s">
        <v>73</v>
      </c>
      <c r="B56" t="s">
        <v>74</v>
      </c>
      <c r="C56" t="s">
        <v>32</v>
      </c>
      <c r="D56" t="s">
        <v>75</v>
      </c>
      <c r="E56" s="3">
        <v>18.5</v>
      </c>
      <c r="F56">
        <v>2</v>
      </c>
      <c r="G56" s="1">
        <v>8</v>
      </c>
      <c r="H56" s="1">
        <v>12</v>
      </c>
      <c r="I56" s="1">
        <v>14</v>
      </c>
      <c r="J56" s="1">
        <f>I56-G56</f>
        <v>6</v>
      </c>
      <c r="K56" s="2">
        <v>11.568959853228401</v>
      </c>
      <c r="L56" s="2">
        <v>13.054398480583639</v>
      </c>
      <c r="M56" s="2">
        <v>15.278045654296875</v>
      </c>
      <c r="N56" s="2">
        <v>13.219389360469442</v>
      </c>
      <c r="O56" s="2">
        <v>196.67231750488281</v>
      </c>
      <c r="P56" s="2">
        <v>221.92477416992188</v>
      </c>
      <c r="Q56" s="2">
        <v>259.72677612304688</v>
      </c>
      <c r="R56" s="2">
        <v>224.72961912798053</v>
      </c>
      <c r="S56" s="1">
        <v>11</v>
      </c>
      <c r="T56" s="1">
        <v>19</v>
      </c>
      <c r="U56" s="1">
        <v>50</v>
      </c>
      <c r="V56">
        <v>229.61730590188088</v>
      </c>
      <c r="W56">
        <v>2.6</v>
      </c>
      <c r="X56" s="2">
        <f>draft_board[[#This Row],[expected_ppg]]-draft_board[[#This Row],[median_ppg]]</f>
        <v>0.16499087988580285</v>
      </c>
      <c r="Y56">
        <v>14.4</v>
      </c>
      <c r="AB56"/>
      <c r="AG56"/>
      <c r="AK56"/>
      <c r="AL56"/>
      <c r="AM56"/>
      <c r="AO56"/>
    </row>
    <row r="57" spans="1:41" hidden="1" x14ac:dyDescent="0.2">
      <c r="A57" s="8" t="s">
        <v>60</v>
      </c>
      <c r="B57" s="8" t="s">
        <v>61</v>
      </c>
      <c r="C57" s="8" t="s">
        <v>25</v>
      </c>
      <c r="D57" s="8" t="s">
        <v>62</v>
      </c>
      <c r="E57" s="10">
        <v>13.75</v>
      </c>
      <c r="F57" s="8">
        <v>3</v>
      </c>
      <c r="G57" s="9">
        <v>7</v>
      </c>
      <c r="H57" s="9">
        <v>12</v>
      </c>
      <c r="I57" s="9">
        <v>15</v>
      </c>
      <c r="J57" s="9">
        <f>I57-G57</f>
        <v>8</v>
      </c>
      <c r="K57" s="11">
        <v>9.8952439252068007</v>
      </c>
      <c r="L57" s="11">
        <v>12.942736457375918</v>
      </c>
      <c r="M57" s="11">
        <v>15.452460793887868</v>
      </c>
      <c r="N57" s="11">
        <v>13.176285320290386</v>
      </c>
      <c r="O57" s="11">
        <v>168.21914672851562</v>
      </c>
      <c r="P57" s="11">
        <v>220.02651977539062</v>
      </c>
      <c r="Q57" s="11">
        <v>262.69183349609375</v>
      </c>
      <c r="R57" s="11">
        <v>223.99685044493657</v>
      </c>
      <c r="S57" s="9">
        <v>17</v>
      </c>
      <c r="T57" s="9">
        <v>15</v>
      </c>
      <c r="U57" s="9">
        <v>51</v>
      </c>
      <c r="V57" s="8">
        <v>224.44980461699953</v>
      </c>
      <c r="W57" s="8">
        <v>0.9</v>
      </c>
      <c r="X57" s="11">
        <f>draft_board[[#This Row],[expected_ppg]]-draft_board[[#This Row],[median_ppg]]</f>
        <v>0.23354886291446775</v>
      </c>
      <c r="Y57" s="8">
        <v>16.100000000000001</v>
      </c>
      <c r="AB57"/>
      <c r="AG57"/>
      <c r="AK57"/>
      <c r="AL57"/>
      <c r="AM57"/>
      <c r="AO57"/>
    </row>
    <row r="58" spans="1:41" x14ac:dyDescent="0.2">
      <c r="A58" t="s">
        <v>485</v>
      </c>
      <c r="B58" t="s">
        <v>486</v>
      </c>
      <c r="C58" t="s">
        <v>88</v>
      </c>
      <c r="D58" t="s">
        <v>42</v>
      </c>
      <c r="E58" s="3"/>
      <c r="F58">
        <v>5</v>
      </c>
      <c r="H58" s="1">
        <v>32</v>
      </c>
      <c r="I58" s="1">
        <v>33</v>
      </c>
      <c r="J58" s="1">
        <f>I58-G58</f>
        <v>33</v>
      </c>
      <c r="K58" s="2">
        <v>7.4379878324620865</v>
      </c>
      <c r="L58" s="2">
        <v>12.100800458122702</v>
      </c>
      <c r="M58" s="2">
        <v>16.246725643382351</v>
      </c>
      <c r="N58" s="2">
        <v>12.129936667049632</v>
      </c>
      <c r="O58" s="2">
        <v>126.44579315185547</v>
      </c>
      <c r="P58" s="2">
        <v>205.71360778808594</v>
      </c>
      <c r="Q58" s="2">
        <v>276.1943359375</v>
      </c>
      <c r="R58" s="2">
        <v>206.20892333984375</v>
      </c>
      <c r="S58" s="1">
        <v>31</v>
      </c>
      <c r="T58" s="1">
        <v>33</v>
      </c>
      <c r="U58" s="1">
        <v>72</v>
      </c>
      <c r="V58">
        <v>211.25192108154297</v>
      </c>
      <c r="W58">
        <v>15</v>
      </c>
      <c r="X58" s="2">
        <f>draft_board[[#This Row],[expected_ppg]]-draft_board[[#This Row],[median_ppg]]</f>
        <v>2.9136208926930252E-2</v>
      </c>
      <c r="Y58">
        <v>2</v>
      </c>
      <c r="AB58"/>
      <c r="AG58"/>
      <c r="AK58"/>
      <c r="AL58"/>
      <c r="AM58"/>
      <c r="AO58"/>
    </row>
    <row r="59" spans="1:41" hidden="1" x14ac:dyDescent="0.2">
      <c r="A59" t="s">
        <v>92</v>
      </c>
      <c r="B59" t="s">
        <v>93</v>
      </c>
      <c r="C59" t="s">
        <v>84</v>
      </c>
      <c r="D59" t="s">
        <v>65</v>
      </c>
      <c r="E59" s="3">
        <v>22.75</v>
      </c>
      <c r="F59">
        <v>1</v>
      </c>
      <c r="G59" s="1">
        <v>2</v>
      </c>
      <c r="H59" s="1">
        <v>2</v>
      </c>
      <c r="I59" s="1">
        <v>2</v>
      </c>
      <c r="J59" s="1">
        <f>I59-G59</f>
        <v>0</v>
      </c>
      <c r="K59" s="2">
        <v>10.509946037741269</v>
      </c>
      <c r="L59" s="2">
        <v>12.908600751091452</v>
      </c>
      <c r="M59" s="2">
        <v>16.389745375689337</v>
      </c>
      <c r="N59" s="2">
        <v>13.148310917551701</v>
      </c>
      <c r="O59" s="2">
        <v>178.66908264160156</v>
      </c>
      <c r="P59" s="2">
        <v>219.44621276855469</v>
      </c>
      <c r="Q59" s="2">
        <v>278.62567138671875</v>
      </c>
      <c r="R59" s="2">
        <v>223.52128559837891</v>
      </c>
      <c r="S59" s="1">
        <v>2</v>
      </c>
      <c r="T59" s="1">
        <v>2</v>
      </c>
      <c r="U59" s="1">
        <v>52</v>
      </c>
      <c r="V59">
        <v>231.08216074352541</v>
      </c>
      <c r="W59">
        <v>2.7</v>
      </c>
      <c r="X59" s="2">
        <f>draft_board[[#This Row],[expected_ppg]]-draft_board[[#This Row],[median_ppg]]</f>
        <v>0.23971016646024879</v>
      </c>
      <c r="Y59">
        <v>14.3</v>
      </c>
      <c r="AB59"/>
      <c r="AG59"/>
      <c r="AK59"/>
      <c r="AL59"/>
      <c r="AM59"/>
      <c r="AO59"/>
    </row>
    <row r="60" spans="1:41" hidden="1" x14ac:dyDescent="0.2">
      <c r="A60" t="s">
        <v>124</v>
      </c>
      <c r="B60" t="s">
        <v>125</v>
      </c>
      <c r="C60" t="s">
        <v>32</v>
      </c>
      <c r="D60" t="s">
        <v>126</v>
      </c>
      <c r="E60" s="3">
        <v>39.5</v>
      </c>
      <c r="F60">
        <v>3</v>
      </c>
      <c r="G60" s="1">
        <v>18</v>
      </c>
      <c r="H60" s="1">
        <v>13</v>
      </c>
      <c r="I60" s="1">
        <v>17</v>
      </c>
      <c r="J60" s="1">
        <f>I60-G60</f>
        <v>-1</v>
      </c>
      <c r="K60" s="2">
        <v>10.568620569565716</v>
      </c>
      <c r="L60" s="2">
        <v>12.816427791819853</v>
      </c>
      <c r="M60" s="2">
        <v>15.173605526194853</v>
      </c>
      <c r="N60" s="2">
        <v>12.835550159145523</v>
      </c>
      <c r="O60" s="2">
        <v>179.66654968261719</v>
      </c>
      <c r="P60" s="2">
        <v>217.8792724609375</v>
      </c>
      <c r="Q60" s="2">
        <v>257.9512939453125</v>
      </c>
      <c r="R60" s="2">
        <v>218.20435270547389</v>
      </c>
      <c r="S60" s="1">
        <v>14</v>
      </c>
      <c r="T60" s="1">
        <v>21</v>
      </c>
      <c r="U60" s="1">
        <v>57</v>
      </c>
      <c r="V60">
        <v>222.42087447285414</v>
      </c>
      <c r="W60">
        <v>1.4</v>
      </c>
      <c r="X60" s="2">
        <f>draft_board[[#This Row],[expected_ppg]]-draft_board[[#This Row],[median_ppg]]</f>
        <v>1.9122367325669742E-2</v>
      </c>
      <c r="Y60">
        <v>15.6</v>
      </c>
      <c r="AB60"/>
      <c r="AG60"/>
      <c r="AK60"/>
      <c r="AL60"/>
      <c r="AM60"/>
      <c r="AO60"/>
    </row>
    <row r="61" spans="1:41" s="4" customFormat="1" x14ac:dyDescent="0.2">
      <c r="A61" t="s">
        <v>475</v>
      </c>
      <c r="B61" t="s">
        <v>476</v>
      </c>
      <c r="C61" t="s">
        <v>88</v>
      </c>
      <c r="D61" t="s">
        <v>56</v>
      </c>
      <c r="E61" s="3">
        <v>509.33333329999999</v>
      </c>
      <c r="F61">
        <v>5</v>
      </c>
      <c r="G61" s="1">
        <v>35</v>
      </c>
      <c r="H61" s="1">
        <v>33</v>
      </c>
      <c r="I61" s="1">
        <v>32</v>
      </c>
      <c r="J61" s="1">
        <f>I61-G61</f>
        <v>-3</v>
      </c>
      <c r="K61" s="2">
        <v>3.6151100607479321</v>
      </c>
      <c r="L61" s="2">
        <v>12.492160572725183</v>
      </c>
      <c r="M61" s="2">
        <v>18.721602495978861</v>
      </c>
      <c r="N61" s="2">
        <v>10.890275843003216</v>
      </c>
      <c r="O61" s="2">
        <v>61.456871032714844</v>
      </c>
      <c r="P61" s="2">
        <v>212.36672973632812</v>
      </c>
      <c r="Q61" s="2">
        <v>318.26724243164062</v>
      </c>
      <c r="R61" s="2">
        <v>185.13468933105469</v>
      </c>
      <c r="S61" s="1">
        <v>39</v>
      </c>
      <c r="T61" s="1">
        <v>15</v>
      </c>
      <c r="U61" s="1">
        <v>93</v>
      </c>
      <c r="V61">
        <v>200.33889160156249</v>
      </c>
      <c r="W61">
        <v>1.4</v>
      </c>
      <c r="X61" s="2">
        <f>draft_board[[#This Row],[expected_ppg]]-draft_board[[#This Row],[median_ppg]]</f>
        <v>-1.6018847297219665</v>
      </c>
      <c r="Y61">
        <v>15.6</v>
      </c>
    </row>
    <row r="62" spans="1:41" hidden="1" x14ac:dyDescent="0.2">
      <c r="A62" t="s">
        <v>117</v>
      </c>
      <c r="B62" t="s">
        <v>118</v>
      </c>
      <c r="C62" t="s">
        <v>25</v>
      </c>
      <c r="D62" t="s">
        <v>119</v>
      </c>
      <c r="E62" s="3">
        <v>38</v>
      </c>
      <c r="F62">
        <v>3</v>
      </c>
      <c r="G62" s="1">
        <v>17</v>
      </c>
      <c r="H62" s="1">
        <v>13</v>
      </c>
      <c r="I62" s="1">
        <v>11</v>
      </c>
      <c r="J62" s="1">
        <f>I62-G62</f>
        <v>-6</v>
      </c>
      <c r="K62" s="2">
        <v>11.174325382008272</v>
      </c>
      <c r="L62" s="2">
        <v>13.768919103285846</v>
      </c>
      <c r="M62" s="2">
        <v>15.578861012178308</v>
      </c>
      <c r="N62" s="2">
        <v>12.790572063236779</v>
      </c>
      <c r="O62" s="2">
        <v>189.96353149414062</v>
      </c>
      <c r="P62" s="2">
        <v>234.07162475585938</v>
      </c>
      <c r="Q62" s="2">
        <v>264.84063720703125</v>
      </c>
      <c r="R62" s="2">
        <v>217.43972507502522</v>
      </c>
      <c r="S62" s="1">
        <v>10</v>
      </c>
      <c r="T62" s="1">
        <v>14</v>
      </c>
      <c r="U62" s="1">
        <v>58</v>
      </c>
      <c r="V62">
        <v>226.16475999845011</v>
      </c>
      <c r="W62">
        <v>1.3</v>
      </c>
      <c r="X62" s="2">
        <f>draft_board[[#This Row],[expected_ppg]]-draft_board[[#This Row],[median_ppg]]</f>
        <v>-0.97834704004906747</v>
      </c>
      <c r="Y62">
        <v>15.7</v>
      </c>
      <c r="AB62"/>
      <c r="AG62"/>
      <c r="AK62"/>
      <c r="AL62"/>
      <c r="AM62"/>
      <c r="AO62"/>
    </row>
    <row r="63" spans="1:41" hidden="1" x14ac:dyDescent="0.2">
      <c r="A63" t="s">
        <v>96</v>
      </c>
      <c r="B63" t="s">
        <v>97</v>
      </c>
      <c r="C63" t="s">
        <v>32</v>
      </c>
      <c r="D63" t="s">
        <v>72</v>
      </c>
      <c r="E63" s="3">
        <v>24.5</v>
      </c>
      <c r="F63">
        <v>2</v>
      </c>
      <c r="G63" s="1">
        <v>11</v>
      </c>
      <c r="H63" s="1">
        <v>14</v>
      </c>
      <c r="I63" s="1">
        <v>13</v>
      </c>
      <c r="J63" s="1">
        <f>I63-G63</f>
        <v>2</v>
      </c>
      <c r="K63" s="2">
        <v>11.957762774299173</v>
      </c>
      <c r="L63" s="2">
        <v>13.346087287454043</v>
      </c>
      <c r="M63" s="2">
        <v>18.160829431870404</v>
      </c>
      <c r="N63" s="2">
        <v>12.719849485406865</v>
      </c>
      <c r="O63" s="2">
        <v>203.28196716308594</v>
      </c>
      <c r="P63" s="2">
        <v>226.88348388671875</v>
      </c>
      <c r="Q63" s="2">
        <v>308.73410034179688</v>
      </c>
      <c r="R63" s="2">
        <v>216.23744125191669</v>
      </c>
      <c r="S63" s="1">
        <v>7</v>
      </c>
      <c r="T63" s="1">
        <v>5</v>
      </c>
      <c r="U63" s="1">
        <v>60</v>
      </c>
      <c r="V63">
        <v>241.39534416111459</v>
      </c>
      <c r="W63">
        <v>2.2000000000000002</v>
      </c>
      <c r="X63" s="2">
        <f>draft_board[[#This Row],[expected_ppg]]-draft_board[[#This Row],[median_ppg]]</f>
        <v>-0.6262378020471786</v>
      </c>
      <c r="Y63">
        <v>14.8</v>
      </c>
      <c r="AB63"/>
      <c r="AG63"/>
      <c r="AK63"/>
      <c r="AL63"/>
      <c r="AM63"/>
      <c r="AO63"/>
    </row>
    <row r="64" spans="1:41" hidden="1" x14ac:dyDescent="0.2">
      <c r="A64" t="s">
        <v>146</v>
      </c>
      <c r="B64" t="s">
        <v>147</v>
      </c>
      <c r="C64" t="s">
        <v>25</v>
      </c>
      <c r="D64" t="s">
        <v>134</v>
      </c>
      <c r="E64" s="3">
        <v>51.25</v>
      </c>
      <c r="F64">
        <v>4</v>
      </c>
      <c r="G64" s="1">
        <v>20</v>
      </c>
      <c r="H64" s="1">
        <v>14</v>
      </c>
      <c r="I64" s="1">
        <v>22</v>
      </c>
      <c r="J64" s="1">
        <f>I64-G64</f>
        <v>2</v>
      </c>
      <c r="K64" s="2">
        <v>9.5074714211856612</v>
      </c>
      <c r="L64" s="2">
        <v>10.861840640797334</v>
      </c>
      <c r="M64" s="2">
        <v>14.786218082203584</v>
      </c>
      <c r="N64" s="2">
        <v>12.705397080618051</v>
      </c>
      <c r="O64" s="2">
        <v>161.62701416015625</v>
      </c>
      <c r="P64" s="2">
        <v>184.65129089355469</v>
      </c>
      <c r="Q64" s="2">
        <v>251.36570739746094</v>
      </c>
      <c r="R64" s="2">
        <v>215.99175037050685</v>
      </c>
      <c r="S64" s="1">
        <v>18</v>
      </c>
      <c r="T64" s="1">
        <v>18</v>
      </c>
      <c r="U64" s="1">
        <v>61</v>
      </c>
      <c r="V64">
        <v>215.73099023652296</v>
      </c>
      <c r="W64">
        <v>2.1</v>
      </c>
      <c r="X64" s="2">
        <f>draft_board[[#This Row],[expected_ppg]]-draft_board[[#This Row],[median_ppg]]</f>
        <v>1.8435564398207163</v>
      </c>
      <c r="Y64">
        <v>14.9</v>
      </c>
      <c r="AB64"/>
      <c r="AG64"/>
      <c r="AK64"/>
      <c r="AL64"/>
      <c r="AM64"/>
      <c r="AO64"/>
    </row>
    <row r="65" spans="1:41" hidden="1" x14ac:dyDescent="0.2">
      <c r="A65" s="8" t="s">
        <v>107</v>
      </c>
      <c r="B65" s="8" t="s">
        <v>108</v>
      </c>
      <c r="C65" s="8" t="s">
        <v>32</v>
      </c>
      <c r="D65" s="8" t="s">
        <v>62</v>
      </c>
      <c r="E65" s="10">
        <v>33</v>
      </c>
      <c r="F65" s="8">
        <v>3</v>
      </c>
      <c r="G65" s="9">
        <v>14</v>
      </c>
      <c r="H65" s="9">
        <v>15</v>
      </c>
      <c r="I65" s="9">
        <v>26</v>
      </c>
      <c r="J65" s="9">
        <f>I65-G65</f>
        <v>12</v>
      </c>
      <c r="K65" s="11">
        <v>9.6507173426011033</v>
      </c>
      <c r="L65" s="11">
        <v>11.77791550580193</v>
      </c>
      <c r="M65" s="11">
        <v>14.949207081514245</v>
      </c>
      <c r="N65" s="11">
        <v>12.699770836844538</v>
      </c>
      <c r="O65" s="11">
        <v>164.06219482421875</v>
      </c>
      <c r="P65" s="11">
        <v>200.22456359863281</v>
      </c>
      <c r="Q65" s="11">
        <v>254.13652038574219</v>
      </c>
      <c r="R65" s="11">
        <v>215.89610422635715</v>
      </c>
      <c r="S65" s="9">
        <v>22</v>
      </c>
      <c r="T65" s="9">
        <v>23</v>
      </c>
      <c r="U65" s="9">
        <v>62</v>
      </c>
      <c r="V65" s="8">
        <v>217.00144719374498</v>
      </c>
      <c r="W65" s="8">
        <v>3.5</v>
      </c>
      <c r="X65" s="11">
        <f>draft_board[[#This Row],[expected_ppg]]-draft_board[[#This Row],[median_ppg]]</f>
        <v>0.92185533104260742</v>
      </c>
      <c r="Y65" s="8">
        <v>13.5</v>
      </c>
      <c r="AB65"/>
      <c r="AG65"/>
      <c r="AK65"/>
      <c r="AL65"/>
      <c r="AM65"/>
      <c r="AO65"/>
    </row>
    <row r="66" spans="1:41" hidden="1" x14ac:dyDescent="0.2">
      <c r="A66" t="s">
        <v>79</v>
      </c>
      <c r="B66" t="s">
        <v>80</v>
      </c>
      <c r="C66" t="s">
        <v>25</v>
      </c>
      <c r="D66" t="s">
        <v>81</v>
      </c>
      <c r="E66" s="3">
        <v>19.75</v>
      </c>
      <c r="F66">
        <v>3</v>
      </c>
      <c r="G66" s="1">
        <v>12</v>
      </c>
      <c r="H66" s="1">
        <v>15</v>
      </c>
      <c r="I66" s="1">
        <v>13</v>
      </c>
      <c r="J66" s="1">
        <f>I66-G66</f>
        <v>1</v>
      </c>
      <c r="K66" s="2">
        <v>8.7404677447150743</v>
      </c>
      <c r="L66" s="2">
        <v>13.444416719324449</v>
      </c>
      <c r="M66" s="2">
        <v>16.579266716452207</v>
      </c>
      <c r="N66" s="2">
        <v>12.648908051769851</v>
      </c>
      <c r="O66" s="2">
        <v>148.58795166015625</v>
      </c>
      <c r="P66" s="2">
        <v>228.55508422851562</v>
      </c>
      <c r="Q66" s="2">
        <v>281.8475341796875</v>
      </c>
      <c r="R66" s="2">
        <v>215.03143688008745</v>
      </c>
      <c r="S66" s="1">
        <v>22</v>
      </c>
      <c r="T66" s="1">
        <v>9</v>
      </c>
      <c r="U66" s="1">
        <v>63</v>
      </c>
      <c r="V66">
        <v>221.78756902598121</v>
      </c>
      <c r="W66">
        <v>0.6</v>
      </c>
      <c r="X66" s="2">
        <f>draft_board[[#This Row],[expected_ppg]]-draft_board[[#This Row],[median_ppg]]</f>
        <v>-0.79550866755459815</v>
      </c>
      <c r="Y66">
        <v>16.399999999999999</v>
      </c>
      <c r="AB66"/>
      <c r="AG66"/>
      <c r="AK66"/>
      <c r="AL66"/>
      <c r="AM66"/>
      <c r="AO66"/>
    </row>
    <row r="67" spans="1:41" x14ac:dyDescent="0.2">
      <c r="A67" t="s">
        <v>351</v>
      </c>
      <c r="B67" t="s">
        <v>352</v>
      </c>
      <c r="C67" t="s">
        <v>88</v>
      </c>
      <c r="D67" t="s">
        <v>106</v>
      </c>
      <c r="E67" s="3">
        <v>222</v>
      </c>
      <c r="F67">
        <v>5</v>
      </c>
      <c r="G67" s="1">
        <v>28</v>
      </c>
      <c r="H67" s="1">
        <v>34</v>
      </c>
      <c r="I67" s="1">
        <v>34</v>
      </c>
      <c r="J67" s="1">
        <f>I67-G67</f>
        <v>6</v>
      </c>
      <c r="K67" s="2">
        <v>8.0727610868566178</v>
      </c>
      <c r="L67" s="2">
        <v>11.686808866613051</v>
      </c>
      <c r="M67" s="2">
        <v>15.563641716452207</v>
      </c>
      <c r="N67" s="2">
        <v>10.646321913775276</v>
      </c>
      <c r="O67" s="2">
        <v>137.2369384765625</v>
      </c>
      <c r="P67" s="2">
        <v>198.67575073242188</v>
      </c>
      <c r="Q67" s="2">
        <v>264.5819091796875</v>
      </c>
      <c r="R67" s="2">
        <v>180.98747253417969</v>
      </c>
      <c r="S67" s="1">
        <v>27</v>
      </c>
      <c r="T67" s="1">
        <v>35</v>
      </c>
      <c r="U67" s="1">
        <v>98</v>
      </c>
      <c r="V67">
        <v>197.31569671630859</v>
      </c>
      <c r="W67">
        <v>2.2999999999999998</v>
      </c>
      <c r="X67" s="2">
        <f>draft_board[[#This Row],[expected_ppg]]-draft_board[[#This Row],[median_ppg]]</f>
        <v>-1.0404869528377745</v>
      </c>
      <c r="Y67">
        <v>14.7</v>
      </c>
      <c r="AB67"/>
      <c r="AG67"/>
      <c r="AK67"/>
      <c r="AL67"/>
      <c r="AM67"/>
      <c r="AO67"/>
    </row>
    <row r="68" spans="1:41" hidden="1" x14ac:dyDescent="0.2">
      <c r="A68" s="4" t="s">
        <v>170</v>
      </c>
      <c r="B68" s="4" t="s">
        <v>171</v>
      </c>
      <c r="C68" s="4" t="s">
        <v>32</v>
      </c>
      <c r="D68" s="4" t="s">
        <v>26</v>
      </c>
      <c r="E68" s="6">
        <v>59.5</v>
      </c>
      <c r="F68" s="4">
        <v>3</v>
      </c>
      <c r="G68" s="5">
        <v>26</v>
      </c>
      <c r="H68" s="5">
        <v>16</v>
      </c>
      <c r="I68" s="5">
        <v>12</v>
      </c>
      <c r="J68" s="5">
        <f>I68-G68</f>
        <v>-14</v>
      </c>
      <c r="K68" s="7">
        <v>10.778578814338236</v>
      </c>
      <c r="L68" s="7">
        <v>13.505048864028034</v>
      </c>
      <c r="M68" s="7">
        <v>16.439997055951288</v>
      </c>
      <c r="N68" s="7">
        <v>12.610771422594786</v>
      </c>
      <c r="O68" s="7">
        <v>183.23583984375</v>
      </c>
      <c r="P68" s="7">
        <v>229.58583068847656</v>
      </c>
      <c r="Q68" s="7">
        <v>279.47994995117188</v>
      </c>
      <c r="R68" s="7">
        <v>214.38311418411135</v>
      </c>
      <c r="S68" s="5">
        <v>13</v>
      </c>
      <c r="T68" s="5">
        <v>14</v>
      </c>
      <c r="U68" s="5">
        <v>64</v>
      </c>
      <c r="V68" s="4">
        <v>227.68271004615724</v>
      </c>
      <c r="W68" s="4">
        <v>1.4</v>
      </c>
      <c r="X68" s="7">
        <f>draft_board[[#This Row],[expected_ppg]]-draft_board[[#This Row],[median_ppg]]</f>
        <v>-0.89427744143324794</v>
      </c>
      <c r="Y68" s="4">
        <v>15.6</v>
      </c>
      <c r="AB68"/>
      <c r="AG68"/>
      <c r="AK68"/>
      <c r="AL68"/>
      <c r="AM68"/>
      <c r="AO68"/>
    </row>
    <row r="69" spans="1:41" x14ac:dyDescent="0.2">
      <c r="A69" t="s">
        <v>431</v>
      </c>
      <c r="B69" t="s">
        <v>432</v>
      </c>
      <c r="C69" t="s">
        <v>88</v>
      </c>
      <c r="D69" t="s">
        <v>29</v>
      </c>
      <c r="E69" s="3">
        <v>320</v>
      </c>
      <c r="F69">
        <v>5</v>
      </c>
      <c r="G69" s="1">
        <v>33</v>
      </c>
      <c r="H69" s="1">
        <v>36</v>
      </c>
      <c r="I69" s="1">
        <v>35</v>
      </c>
      <c r="J69" s="1">
        <f>I69-G69</f>
        <v>2</v>
      </c>
      <c r="K69" s="2">
        <v>8.1816648595473342</v>
      </c>
      <c r="L69" s="2">
        <v>11.482856301700368</v>
      </c>
      <c r="M69" s="2">
        <v>15.630164651309743</v>
      </c>
      <c r="N69" s="2">
        <v>10.355431949391084</v>
      </c>
      <c r="O69" s="2">
        <v>139.08830261230469</v>
      </c>
      <c r="P69" s="2">
        <v>195.20855712890625</v>
      </c>
      <c r="Q69" s="2">
        <v>265.71279907226562</v>
      </c>
      <c r="R69" s="2">
        <v>176.04234313964844</v>
      </c>
      <c r="S69" s="1">
        <v>26</v>
      </c>
      <c r="T69" s="1">
        <v>34</v>
      </c>
      <c r="U69" s="1">
        <v>104</v>
      </c>
      <c r="V69">
        <v>195.55267181396482</v>
      </c>
      <c r="W69">
        <v>1.3</v>
      </c>
      <c r="X69" s="2">
        <f>draft_board[[#This Row],[expected_ppg]]-draft_board[[#This Row],[median_ppg]]</f>
        <v>-1.1274243523092835</v>
      </c>
      <c r="Y69">
        <v>15.7</v>
      </c>
      <c r="AB69"/>
      <c r="AG69"/>
      <c r="AK69"/>
      <c r="AL69"/>
      <c r="AM69"/>
      <c r="AO69"/>
    </row>
    <row r="70" spans="1:41" hidden="1" x14ac:dyDescent="0.2">
      <c r="A70" s="8" t="s">
        <v>101</v>
      </c>
      <c r="B70" s="8" t="s">
        <v>102</v>
      </c>
      <c r="C70" s="8" t="s">
        <v>32</v>
      </c>
      <c r="D70" s="8" t="s">
        <v>103</v>
      </c>
      <c r="E70" s="10">
        <v>27.75</v>
      </c>
      <c r="F70" s="8">
        <v>2</v>
      </c>
      <c r="G70" s="9">
        <v>13</v>
      </c>
      <c r="H70" s="9">
        <v>17</v>
      </c>
      <c r="I70" s="9">
        <v>29</v>
      </c>
      <c r="J70" s="9">
        <f>I70-G70</f>
        <v>16</v>
      </c>
      <c r="K70" s="11">
        <v>8.6989261402803315</v>
      </c>
      <c r="L70" s="11">
        <v>11.300653794232536</v>
      </c>
      <c r="M70" s="11">
        <v>17.926384420955884</v>
      </c>
      <c r="N70" s="11">
        <v>12.560860753957948</v>
      </c>
      <c r="O70" s="11">
        <v>147.88174438476562</v>
      </c>
      <c r="P70" s="11">
        <v>192.11111450195312</v>
      </c>
      <c r="Q70" s="11">
        <v>304.74853515625</v>
      </c>
      <c r="R70" s="11">
        <v>213.53463281728511</v>
      </c>
      <c r="S70" s="9">
        <v>29</v>
      </c>
      <c r="T70" s="9">
        <v>7</v>
      </c>
      <c r="U70" s="9">
        <v>65</v>
      </c>
      <c r="V70" s="8">
        <v>227.76822583247068</v>
      </c>
      <c r="W70" s="8">
        <v>0.9</v>
      </c>
      <c r="X70" s="11">
        <f>draft_board[[#This Row],[expected_ppg]]-draft_board[[#This Row],[median_ppg]]</f>
        <v>1.2602069597254122</v>
      </c>
      <c r="Y70" s="8">
        <v>16.100000000000001</v>
      </c>
      <c r="AB70"/>
      <c r="AG70"/>
      <c r="AK70"/>
      <c r="AL70"/>
      <c r="AM70"/>
      <c r="AO70"/>
    </row>
    <row r="71" spans="1:41" hidden="1" x14ac:dyDescent="0.2">
      <c r="A71" s="4" t="s">
        <v>152</v>
      </c>
      <c r="B71" s="4" t="s">
        <v>153</v>
      </c>
      <c r="C71" s="4" t="s">
        <v>25</v>
      </c>
      <c r="D71" s="4" t="s">
        <v>129</v>
      </c>
      <c r="E71" s="6">
        <v>53.75</v>
      </c>
      <c r="F71" s="4">
        <v>3</v>
      </c>
      <c r="G71" s="5">
        <v>21</v>
      </c>
      <c r="H71" s="5">
        <v>16</v>
      </c>
      <c r="I71" s="5">
        <v>14</v>
      </c>
      <c r="J71" s="5">
        <f>I71-G71</f>
        <v>-7</v>
      </c>
      <c r="K71" s="7">
        <v>10.912317612591911</v>
      </c>
      <c r="L71" s="7">
        <v>13.136133530560661</v>
      </c>
      <c r="M71" s="7">
        <v>16.318389892578125</v>
      </c>
      <c r="N71" s="7">
        <v>12.519492023729526</v>
      </c>
      <c r="O71" s="7">
        <v>185.5093994140625</v>
      </c>
      <c r="P71" s="7">
        <v>223.31427001953125</v>
      </c>
      <c r="Q71" s="7">
        <v>277.41262817382812</v>
      </c>
      <c r="R71" s="7">
        <v>212.83136440340195</v>
      </c>
      <c r="S71" s="5">
        <v>13</v>
      </c>
      <c r="T71" s="5">
        <v>11</v>
      </c>
      <c r="U71" s="5">
        <v>66</v>
      </c>
      <c r="V71" s="4">
        <v>226.74135053666191</v>
      </c>
      <c r="W71" s="4">
        <v>1.6</v>
      </c>
      <c r="X71" s="7">
        <f>draft_board[[#This Row],[expected_ppg]]-draft_board[[#This Row],[median_ppg]]</f>
        <v>-0.61664150683113483</v>
      </c>
      <c r="Y71" s="4">
        <v>15.4</v>
      </c>
      <c r="AB71"/>
      <c r="AG71"/>
      <c r="AK71"/>
      <c r="AL71"/>
      <c r="AM71"/>
      <c r="AO71"/>
    </row>
    <row r="72" spans="1:41" hidden="1" x14ac:dyDescent="0.2">
      <c r="A72" t="s">
        <v>132</v>
      </c>
      <c r="B72" t="s">
        <v>133</v>
      </c>
      <c r="C72" t="s">
        <v>32</v>
      </c>
      <c r="D72" t="s">
        <v>134</v>
      </c>
      <c r="E72" s="3">
        <v>42.75</v>
      </c>
      <c r="F72">
        <v>3</v>
      </c>
      <c r="G72" s="1">
        <v>19</v>
      </c>
      <c r="H72" s="1">
        <v>18</v>
      </c>
      <c r="I72" s="1">
        <v>21</v>
      </c>
      <c r="J72" s="1">
        <f>I72-G72</f>
        <v>2</v>
      </c>
      <c r="K72" s="2">
        <v>9.7393798828125</v>
      </c>
      <c r="L72" s="2">
        <v>12.331731459673714</v>
      </c>
      <c r="M72" s="2">
        <v>15.011811200310202</v>
      </c>
      <c r="N72" s="2">
        <v>12.261723270861877</v>
      </c>
      <c r="O72" s="2">
        <v>165.5694580078125</v>
      </c>
      <c r="P72" s="2">
        <v>209.63943481445312</v>
      </c>
      <c r="Q72" s="2">
        <v>255.20079040527344</v>
      </c>
      <c r="R72" s="2">
        <v>208.44929560465189</v>
      </c>
      <c r="S72" s="1">
        <v>21</v>
      </c>
      <c r="T72" s="1">
        <v>22</v>
      </c>
      <c r="U72" s="1">
        <v>67</v>
      </c>
      <c r="V72">
        <v>213.89877652547048</v>
      </c>
      <c r="W72">
        <v>3.3</v>
      </c>
      <c r="X72" s="2">
        <f>draft_board[[#This Row],[expected_ppg]]-draft_board[[#This Row],[median_ppg]]</f>
        <v>-7.0008188811836902E-2</v>
      </c>
      <c r="Y72">
        <v>13.7</v>
      </c>
      <c r="AB72"/>
      <c r="AG72"/>
      <c r="AK72"/>
      <c r="AL72"/>
      <c r="AM72"/>
      <c r="AO72"/>
    </row>
    <row r="73" spans="1:41" s="4" customFormat="1" hidden="1" x14ac:dyDescent="0.2">
      <c r="A73" t="s">
        <v>157</v>
      </c>
      <c r="B73" t="s">
        <v>158</v>
      </c>
      <c r="C73" t="s">
        <v>25</v>
      </c>
      <c r="D73" t="s">
        <v>159</v>
      </c>
      <c r="E73" s="3">
        <v>55.25</v>
      </c>
      <c r="F73">
        <v>4</v>
      </c>
      <c r="G73" s="1">
        <v>22</v>
      </c>
      <c r="H73" s="1">
        <v>17</v>
      </c>
      <c r="I73" s="1">
        <v>18</v>
      </c>
      <c r="J73" s="1">
        <f>I73-G73</f>
        <v>-4</v>
      </c>
      <c r="K73" s="2">
        <v>7.700285967658548</v>
      </c>
      <c r="L73" s="2">
        <v>12.016764921300551</v>
      </c>
      <c r="M73" s="2">
        <v>14.458251055549173</v>
      </c>
      <c r="N73" s="2">
        <v>12.240248526458972</v>
      </c>
      <c r="O73" s="2">
        <v>130.90486145019531</v>
      </c>
      <c r="P73" s="2">
        <v>204.28500366210938</v>
      </c>
      <c r="Q73" s="2">
        <v>245.79026794433594</v>
      </c>
      <c r="R73" s="2">
        <v>208.08422494980252</v>
      </c>
      <c r="S73" s="1">
        <v>26</v>
      </c>
      <c r="T73" s="1">
        <v>19</v>
      </c>
      <c r="U73" s="1">
        <v>68</v>
      </c>
      <c r="V73">
        <v>203.96016514824112</v>
      </c>
      <c r="W73">
        <v>0.9</v>
      </c>
      <c r="X73" s="2">
        <f>draft_board[[#This Row],[expected_ppg]]-draft_board[[#This Row],[median_ppg]]</f>
        <v>0.22348360515842103</v>
      </c>
      <c r="Y73">
        <v>16.100000000000001</v>
      </c>
    </row>
    <row r="74" spans="1:41" hidden="1" x14ac:dyDescent="0.2">
      <c r="A74" t="s">
        <v>120</v>
      </c>
      <c r="B74" t="s">
        <v>121</v>
      </c>
      <c r="C74" t="s">
        <v>32</v>
      </c>
      <c r="D74" t="s">
        <v>33</v>
      </c>
      <c r="E74" s="3">
        <v>38.75</v>
      </c>
      <c r="F74">
        <v>3</v>
      </c>
      <c r="G74" s="1">
        <v>17</v>
      </c>
      <c r="H74" s="1">
        <v>19</v>
      </c>
      <c r="I74" s="1">
        <v>16</v>
      </c>
      <c r="J74" s="1">
        <f>I74-G74</f>
        <v>-1</v>
      </c>
      <c r="K74" s="2">
        <v>10.230899586397058</v>
      </c>
      <c r="L74" s="2">
        <v>12.908982220818014</v>
      </c>
      <c r="M74" s="2">
        <v>16.115701114430149</v>
      </c>
      <c r="N74" s="2">
        <v>12.166694328308862</v>
      </c>
      <c r="O74" s="2">
        <v>173.92529296875</v>
      </c>
      <c r="P74" s="2">
        <v>219.45269775390625</v>
      </c>
      <c r="Q74" s="2">
        <v>273.9669189453125</v>
      </c>
      <c r="R74" s="2">
        <v>206.83380358125066</v>
      </c>
      <c r="S74" s="1">
        <v>18</v>
      </c>
      <c r="T74" s="1">
        <v>15</v>
      </c>
      <c r="U74" s="1">
        <v>69</v>
      </c>
      <c r="V74">
        <v>220.39203606796909</v>
      </c>
      <c r="W74">
        <v>1.6</v>
      </c>
      <c r="X74" s="2">
        <f>draft_board[[#This Row],[expected_ppg]]-draft_board[[#This Row],[median_ppg]]</f>
        <v>-0.74228789250915206</v>
      </c>
      <c r="Y74">
        <v>15.4</v>
      </c>
      <c r="AB74"/>
      <c r="AG74"/>
      <c r="AK74"/>
      <c r="AL74"/>
      <c r="AM74"/>
      <c r="AO74"/>
    </row>
    <row r="75" spans="1:41" hidden="1" x14ac:dyDescent="0.2">
      <c r="A75" s="4" t="s">
        <v>221</v>
      </c>
      <c r="B75" s="4" t="s">
        <v>222</v>
      </c>
      <c r="C75" s="4" t="s">
        <v>32</v>
      </c>
      <c r="D75" s="4" t="s">
        <v>182</v>
      </c>
      <c r="E75" s="6">
        <v>89</v>
      </c>
      <c r="F75" s="4">
        <v>3</v>
      </c>
      <c r="G75" s="5">
        <v>35</v>
      </c>
      <c r="H75" s="5">
        <v>20</v>
      </c>
      <c r="I75" s="5">
        <v>23</v>
      </c>
      <c r="J75" s="5">
        <f>I75-G75</f>
        <v>-12</v>
      </c>
      <c r="K75" s="7">
        <v>9.1342683679917283</v>
      </c>
      <c r="L75" s="7">
        <v>11.911620196174173</v>
      </c>
      <c r="M75" s="7">
        <v>15.274410472196692</v>
      </c>
      <c r="N75" s="7">
        <v>12.148349378722017</v>
      </c>
      <c r="O75" s="7">
        <v>155.28256225585938</v>
      </c>
      <c r="P75" s="7">
        <v>202.49754333496094</v>
      </c>
      <c r="Q75" s="7">
        <v>259.66497802734375</v>
      </c>
      <c r="R75" s="7">
        <v>206.52193943827427</v>
      </c>
      <c r="S75" s="5">
        <v>26</v>
      </c>
      <c r="T75" s="5">
        <v>20</v>
      </c>
      <c r="U75" s="5">
        <v>70</v>
      </c>
      <c r="V75" s="4">
        <v>212.21697557851215</v>
      </c>
      <c r="W75" s="4">
        <v>1.9</v>
      </c>
      <c r="X75" s="7">
        <f>draft_board[[#This Row],[expected_ppg]]-draft_board[[#This Row],[median_ppg]]</f>
        <v>0.23672918254784392</v>
      </c>
      <c r="Y75" s="4">
        <v>15.1</v>
      </c>
      <c r="AB75"/>
      <c r="AG75"/>
      <c r="AK75"/>
      <c r="AL75"/>
      <c r="AM75"/>
      <c r="AO75"/>
    </row>
    <row r="76" spans="1:41" hidden="1" x14ac:dyDescent="0.2">
      <c r="A76" s="4" t="s">
        <v>130</v>
      </c>
      <c r="B76" s="4" t="s">
        <v>131</v>
      </c>
      <c r="C76" s="4" t="s">
        <v>25</v>
      </c>
      <c r="D76" s="4" t="s">
        <v>100</v>
      </c>
      <c r="E76" s="6">
        <v>40.5</v>
      </c>
      <c r="F76" s="4">
        <v>3</v>
      </c>
      <c r="G76" s="5">
        <v>18</v>
      </c>
      <c r="H76" s="5">
        <v>18</v>
      </c>
      <c r="I76" s="5">
        <v>10</v>
      </c>
      <c r="J76" s="5">
        <f>I76-G76</f>
        <v>-8</v>
      </c>
      <c r="K76" s="7">
        <v>11.008489272173714</v>
      </c>
      <c r="L76" s="7">
        <v>14.021148681640625</v>
      </c>
      <c r="M76" s="7">
        <v>16.204469568589154</v>
      </c>
      <c r="N76" s="7">
        <v>12.142469139729736</v>
      </c>
      <c r="O76" s="7">
        <v>187.14431762695312</v>
      </c>
      <c r="P76" s="7">
        <v>238.35952758789062</v>
      </c>
      <c r="Q76" s="7">
        <v>275.47598266601562</v>
      </c>
      <c r="R76" s="7">
        <v>206.42197537540551</v>
      </c>
      <c r="S76" s="5">
        <v>11</v>
      </c>
      <c r="T76" s="5">
        <v>12</v>
      </c>
      <c r="U76" s="5">
        <v>71</v>
      </c>
      <c r="V76" s="4">
        <v>223.28264601289806</v>
      </c>
      <c r="W76" s="4">
        <v>1.4</v>
      </c>
      <c r="X76" s="7">
        <f>draft_board[[#This Row],[expected_ppg]]-draft_board[[#This Row],[median_ppg]]</f>
        <v>-1.8786795419108895</v>
      </c>
      <c r="Y76" s="4">
        <v>15.6</v>
      </c>
      <c r="AB76"/>
      <c r="AG76"/>
      <c r="AK76"/>
      <c r="AL76"/>
      <c r="AM76"/>
      <c r="AO76"/>
    </row>
    <row r="77" spans="1:41" hidden="1" x14ac:dyDescent="0.2">
      <c r="A77" s="4" t="s">
        <v>261</v>
      </c>
      <c r="B77" s="4" t="s">
        <v>262</v>
      </c>
      <c r="C77" s="4" t="s">
        <v>32</v>
      </c>
      <c r="D77" s="4" t="s">
        <v>220</v>
      </c>
      <c r="E77" s="6">
        <v>117.75</v>
      </c>
      <c r="F77" s="4">
        <v>3</v>
      </c>
      <c r="G77" s="5">
        <v>45</v>
      </c>
      <c r="H77" s="5">
        <v>21</v>
      </c>
      <c r="I77" s="5">
        <v>25</v>
      </c>
      <c r="J77" s="5">
        <f>I77-G77</f>
        <v>-20</v>
      </c>
      <c r="K77" s="7">
        <v>8.8764585607192092</v>
      </c>
      <c r="L77" s="7">
        <v>11.785757625804228</v>
      </c>
      <c r="M77" s="7">
        <v>15.718290441176471</v>
      </c>
      <c r="N77" s="7">
        <v>12.090932196337537</v>
      </c>
      <c r="O77" s="7">
        <v>150.89979553222656</v>
      </c>
      <c r="P77" s="7">
        <v>200.35787963867188</v>
      </c>
      <c r="Q77" s="7">
        <v>267.2109375</v>
      </c>
      <c r="R77" s="7">
        <v>205.54584733773814</v>
      </c>
      <c r="S77" s="5">
        <v>27</v>
      </c>
      <c r="T77" s="5">
        <v>17</v>
      </c>
      <c r="U77" s="5">
        <v>73</v>
      </c>
      <c r="V77" s="4">
        <v>213.11616402531439</v>
      </c>
      <c r="W77" s="4">
        <v>1.8</v>
      </c>
      <c r="X77" s="7">
        <f>draft_board[[#This Row],[expected_ppg]]-draft_board[[#This Row],[median_ppg]]</f>
        <v>0.30517457053330865</v>
      </c>
      <c r="Y77" s="4">
        <v>15.2</v>
      </c>
      <c r="AB77"/>
      <c r="AG77"/>
      <c r="AK77"/>
      <c r="AL77"/>
      <c r="AM77"/>
      <c r="AO77"/>
    </row>
    <row r="78" spans="1:41" hidden="1" x14ac:dyDescent="0.2">
      <c r="A78" s="4" t="s">
        <v>197</v>
      </c>
      <c r="B78" s="4" t="s">
        <v>198</v>
      </c>
      <c r="C78" s="4" t="s">
        <v>25</v>
      </c>
      <c r="D78" s="4" t="s">
        <v>199</v>
      </c>
      <c r="E78" s="6">
        <v>77.25</v>
      </c>
      <c r="F78" s="4">
        <v>4</v>
      </c>
      <c r="G78" s="5">
        <v>28</v>
      </c>
      <c r="H78" s="5">
        <v>19</v>
      </c>
      <c r="I78" s="5">
        <v>19</v>
      </c>
      <c r="J78" s="5">
        <f>I78-G78</f>
        <v>-9</v>
      </c>
      <c r="K78" s="7">
        <v>10.18009589700138</v>
      </c>
      <c r="L78" s="7">
        <v>12.011565264533548</v>
      </c>
      <c r="M78" s="7">
        <v>13.036606732536764</v>
      </c>
      <c r="N78" s="7">
        <v>12.06574690398033</v>
      </c>
      <c r="O78" s="7">
        <v>173.06163024902344</v>
      </c>
      <c r="P78" s="7">
        <v>204.19660949707031</v>
      </c>
      <c r="Q78" s="7">
        <v>221.622314453125</v>
      </c>
      <c r="R78" s="7">
        <v>205.11769736766561</v>
      </c>
      <c r="S78" s="5">
        <v>16</v>
      </c>
      <c r="T78" s="5">
        <v>24</v>
      </c>
      <c r="U78" s="5">
        <v>74</v>
      </c>
      <c r="V78" s="4">
        <v>203.65786906957501</v>
      </c>
      <c r="W78" s="4">
        <v>1.4</v>
      </c>
      <c r="X78" s="7">
        <f>draft_board[[#This Row],[expected_ppg]]-draft_board[[#This Row],[median_ppg]]</f>
        <v>5.418163944678156E-2</v>
      </c>
      <c r="Y78" s="4">
        <v>15.6</v>
      </c>
      <c r="AB78"/>
      <c r="AG78"/>
      <c r="AK78"/>
      <c r="AL78"/>
      <c r="AM78"/>
      <c r="AO78"/>
    </row>
    <row r="79" spans="1:41" hidden="1" x14ac:dyDescent="0.2">
      <c r="A79" s="8" t="s">
        <v>135</v>
      </c>
      <c r="B79" s="8" t="s">
        <v>136</v>
      </c>
      <c r="C79" s="8" t="s">
        <v>32</v>
      </c>
      <c r="D79" s="8" t="s">
        <v>78</v>
      </c>
      <c r="E79" s="10">
        <v>43.75</v>
      </c>
      <c r="F79" s="8">
        <v>3</v>
      </c>
      <c r="G79" s="9">
        <v>20</v>
      </c>
      <c r="H79" s="9">
        <v>22</v>
      </c>
      <c r="I79" s="9">
        <v>28</v>
      </c>
      <c r="J79" s="9">
        <f>I79-G79</f>
        <v>8</v>
      </c>
      <c r="K79" s="11">
        <v>8.7999617632697618</v>
      </c>
      <c r="L79" s="11">
        <v>11.531602747300091</v>
      </c>
      <c r="M79" s="11">
        <v>14.234233183019301</v>
      </c>
      <c r="N79" s="11">
        <v>11.968783931625135</v>
      </c>
      <c r="O79" s="11">
        <v>149.59934997558594</v>
      </c>
      <c r="P79" s="11">
        <v>196.03724670410156</v>
      </c>
      <c r="Q79" s="11">
        <v>241.98196411132812</v>
      </c>
      <c r="R79" s="11">
        <v>203.46932683762728</v>
      </c>
      <c r="S79" s="9">
        <v>28</v>
      </c>
      <c r="T79" s="9">
        <v>29</v>
      </c>
      <c r="U79" s="9">
        <v>75</v>
      </c>
      <c r="V79" s="8">
        <v>204.24912264732924</v>
      </c>
      <c r="W79" s="8">
        <v>3.1</v>
      </c>
      <c r="X79" s="11">
        <f>draft_board[[#This Row],[expected_ppg]]-draft_board[[#This Row],[median_ppg]]</f>
        <v>0.43718118432504305</v>
      </c>
      <c r="Y79" s="8">
        <v>13.9</v>
      </c>
      <c r="AB79"/>
      <c r="AG79"/>
      <c r="AK79"/>
      <c r="AL79"/>
      <c r="AM79"/>
      <c r="AO79"/>
    </row>
    <row r="80" spans="1:41" hidden="1" x14ac:dyDescent="0.2">
      <c r="A80" s="4" t="s">
        <v>76</v>
      </c>
      <c r="B80" s="4" t="s">
        <v>77</v>
      </c>
      <c r="C80" s="4" t="s">
        <v>25</v>
      </c>
      <c r="D80" s="4" t="s">
        <v>78</v>
      </c>
      <c r="E80" s="6">
        <v>18.75</v>
      </c>
      <c r="F80" s="4">
        <v>3</v>
      </c>
      <c r="G80" s="5">
        <v>11</v>
      </c>
      <c r="H80" s="5">
        <v>20</v>
      </c>
      <c r="I80" s="5">
        <v>9</v>
      </c>
      <c r="J80" s="5">
        <f>I80-G80</f>
        <v>-2</v>
      </c>
      <c r="K80" s="7">
        <v>11.365588917451745</v>
      </c>
      <c r="L80" s="7">
        <v>14.430491727941176</v>
      </c>
      <c r="M80" s="7">
        <v>18.705097871668197</v>
      </c>
      <c r="N80" s="7">
        <v>11.965763986393712</v>
      </c>
      <c r="O80" s="7">
        <v>193.21501159667969</v>
      </c>
      <c r="P80" s="7">
        <v>245.318359375</v>
      </c>
      <c r="Q80" s="7">
        <v>317.98666381835938</v>
      </c>
      <c r="R80" s="7">
        <v>203.41798776869311</v>
      </c>
      <c r="S80" s="5">
        <v>8</v>
      </c>
      <c r="T80" s="5">
        <v>8</v>
      </c>
      <c r="U80" s="5">
        <v>76</v>
      </c>
      <c r="V80" s="4">
        <v>235.74799534919032</v>
      </c>
      <c r="W80" s="4">
        <v>2.1</v>
      </c>
      <c r="X80" s="7">
        <f>draft_board[[#This Row],[expected_ppg]]-draft_board[[#This Row],[median_ppg]]</f>
        <v>-2.4647277415474633</v>
      </c>
      <c r="Y80" s="4">
        <v>14.9</v>
      </c>
      <c r="AB80"/>
      <c r="AG80"/>
      <c r="AK80"/>
      <c r="AL80"/>
      <c r="AM80"/>
      <c r="AO80"/>
    </row>
    <row r="81" spans="1:41" x14ac:dyDescent="0.2">
      <c r="A81" t="s">
        <v>487</v>
      </c>
      <c r="B81" t="s">
        <v>488</v>
      </c>
      <c r="C81" t="s">
        <v>88</v>
      </c>
      <c r="D81" t="s">
        <v>100</v>
      </c>
      <c r="E81" s="3"/>
      <c r="F81">
        <v>5</v>
      </c>
      <c r="H81" s="1">
        <v>35</v>
      </c>
      <c r="I81" s="1">
        <v>39</v>
      </c>
      <c r="J81" s="1">
        <f>I81-G81</f>
        <v>39</v>
      </c>
      <c r="K81" s="2">
        <v>5.4515506519990806</v>
      </c>
      <c r="L81" s="2">
        <v>10.117266486672793</v>
      </c>
      <c r="M81" s="2">
        <v>13.651284610523897</v>
      </c>
      <c r="N81" s="2">
        <v>10.450540879193474</v>
      </c>
      <c r="O81" s="2">
        <v>92.676361083984375</v>
      </c>
      <c r="P81" s="2">
        <v>171.9935302734375</v>
      </c>
      <c r="Q81" s="2">
        <v>232.07183837890625</v>
      </c>
      <c r="R81" s="2">
        <v>177.65919494628906</v>
      </c>
      <c r="S81" s="1">
        <v>35</v>
      </c>
      <c r="T81" s="1">
        <v>40</v>
      </c>
      <c r="U81" s="1">
        <v>103</v>
      </c>
      <c r="V81">
        <v>176.98642120361328</v>
      </c>
      <c r="W81">
        <v>17</v>
      </c>
      <c r="X81" s="2">
        <f>draft_board[[#This Row],[expected_ppg]]-draft_board[[#This Row],[median_ppg]]</f>
        <v>0.33327439252068025</v>
      </c>
      <c r="Y81">
        <v>0</v>
      </c>
      <c r="AB81"/>
      <c r="AG81"/>
      <c r="AK81"/>
      <c r="AL81"/>
      <c r="AM81"/>
      <c r="AO81"/>
    </row>
    <row r="82" spans="1:41" hidden="1" x14ac:dyDescent="0.2">
      <c r="A82" s="4" t="s">
        <v>206</v>
      </c>
      <c r="B82" s="4" t="s">
        <v>207</v>
      </c>
      <c r="C82" s="4" t="s">
        <v>32</v>
      </c>
      <c r="D82" s="4" t="s">
        <v>139</v>
      </c>
      <c r="E82" s="6">
        <v>80.75</v>
      </c>
      <c r="F82" s="4">
        <v>3</v>
      </c>
      <c r="G82" s="5">
        <v>34</v>
      </c>
      <c r="H82" s="5">
        <v>23</v>
      </c>
      <c r="I82" s="5">
        <v>24</v>
      </c>
      <c r="J82" s="5">
        <f>I82-G82</f>
        <v>-10</v>
      </c>
      <c r="K82" s="7">
        <v>9.9482592414407165</v>
      </c>
      <c r="L82" s="7">
        <v>11.894422643324909</v>
      </c>
      <c r="M82" s="7">
        <v>14.179107666015625</v>
      </c>
      <c r="N82" s="7">
        <v>11.91950453867228</v>
      </c>
      <c r="O82" s="7">
        <v>169.12040710449219</v>
      </c>
      <c r="P82" s="7">
        <v>202.20518493652344</v>
      </c>
      <c r="Q82" s="7">
        <v>241.04483032226562</v>
      </c>
      <c r="R82" s="7">
        <v>202.63157715742875</v>
      </c>
      <c r="S82" s="5">
        <v>19</v>
      </c>
      <c r="T82" s="5">
        <v>30</v>
      </c>
      <c r="U82" s="5">
        <v>77</v>
      </c>
      <c r="V82" s="4">
        <v>207.45331909629249</v>
      </c>
      <c r="W82" s="4">
        <v>3.6</v>
      </c>
      <c r="X82" s="7">
        <f>draft_board[[#This Row],[expected_ppg]]-draft_board[[#This Row],[median_ppg]]</f>
        <v>2.5081895347371486E-2</v>
      </c>
      <c r="Y82" s="4">
        <v>13.4</v>
      </c>
      <c r="AB82"/>
      <c r="AG82"/>
      <c r="AK82"/>
      <c r="AL82"/>
      <c r="AM82"/>
      <c r="AO82"/>
    </row>
    <row r="83" spans="1:41" x14ac:dyDescent="0.2">
      <c r="A83" t="s">
        <v>491</v>
      </c>
      <c r="B83" t="s">
        <v>492</v>
      </c>
      <c r="C83" t="s">
        <v>88</v>
      </c>
      <c r="D83" t="s">
        <v>45</v>
      </c>
      <c r="E83" s="3"/>
      <c r="F83">
        <v>5</v>
      </c>
      <c r="H83" s="1">
        <v>37</v>
      </c>
      <c r="I83" s="1">
        <v>37</v>
      </c>
      <c r="J83" s="1">
        <f>I83-G83</f>
        <v>37</v>
      </c>
      <c r="K83" s="2">
        <v>2.2665423224954044</v>
      </c>
      <c r="L83" s="2">
        <v>10.590113920323988</v>
      </c>
      <c r="M83" s="2">
        <v>13.938307818244486</v>
      </c>
      <c r="N83" s="2">
        <v>10.203668930951286</v>
      </c>
      <c r="O83" s="2">
        <v>38.531219482421875</v>
      </c>
      <c r="P83" s="2">
        <v>180.03193664550781</v>
      </c>
      <c r="Q83" s="2">
        <v>236.95123291015625</v>
      </c>
      <c r="R83" s="2">
        <v>173.46237182617188</v>
      </c>
      <c r="S83" s="1">
        <v>47</v>
      </c>
      <c r="T83" s="1">
        <v>39</v>
      </c>
      <c r="U83" s="1">
        <v>109</v>
      </c>
      <c r="V83">
        <v>165.5227996826172</v>
      </c>
      <c r="W83">
        <v>17</v>
      </c>
      <c r="X83" s="2">
        <f>draft_board[[#This Row],[expected_ppg]]-draft_board[[#This Row],[median_ppg]]</f>
        <v>-0.386444989372702</v>
      </c>
      <c r="Y83">
        <v>0</v>
      </c>
      <c r="AB83"/>
      <c r="AG83"/>
      <c r="AK83"/>
      <c r="AL83"/>
      <c r="AM83"/>
      <c r="AO83"/>
    </row>
    <row r="84" spans="1:41" hidden="1" x14ac:dyDescent="0.2">
      <c r="A84" t="s">
        <v>115</v>
      </c>
      <c r="B84" t="s">
        <v>116</v>
      </c>
      <c r="C84" t="s">
        <v>32</v>
      </c>
      <c r="D84" t="s">
        <v>106</v>
      </c>
      <c r="E84" s="3">
        <v>37</v>
      </c>
      <c r="F84">
        <v>3</v>
      </c>
      <c r="G84" s="1">
        <v>16</v>
      </c>
      <c r="H84" s="1">
        <v>24</v>
      </c>
      <c r="I84" s="1">
        <v>18</v>
      </c>
      <c r="J84" s="1">
        <f>I84-G84</f>
        <v>2</v>
      </c>
      <c r="K84" s="2">
        <v>9.385254803825827</v>
      </c>
      <c r="L84" s="2">
        <v>12.536717134363512</v>
      </c>
      <c r="M84" s="2">
        <v>15.799196131089154</v>
      </c>
      <c r="N84" s="2">
        <v>11.845604829905064</v>
      </c>
      <c r="O84" s="2">
        <v>159.54933166503906</v>
      </c>
      <c r="P84" s="2">
        <v>213.12419128417969</v>
      </c>
      <c r="Q84" s="2">
        <v>268.58633422851562</v>
      </c>
      <c r="R84" s="2">
        <v>201.37528210838607</v>
      </c>
      <c r="S84" s="1">
        <v>24</v>
      </c>
      <c r="T84" s="1">
        <v>16</v>
      </c>
      <c r="U84" s="1">
        <v>78</v>
      </c>
      <c r="V84">
        <v>213.17340765575554</v>
      </c>
      <c r="W84">
        <v>1.5</v>
      </c>
      <c r="X84" s="2">
        <f>draft_board[[#This Row],[expected_ppg]]-draft_board[[#This Row],[median_ppg]]</f>
        <v>-0.69111230445844818</v>
      </c>
      <c r="Y84">
        <v>15.5</v>
      </c>
      <c r="AB84"/>
      <c r="AG84"/>
      <c r="AK84"/>
      <c r="AL84"/>
      <c r="AM84"/>
      <c r="AO84"/>
    </row>
    <row r="85" spans="1:41" hidden="1" x14ac:dyDescent="0.2">
      <c r="A85" t="s">
        <v>144</v>
      </c>
      <c r="B85" t="s">
        <v>145</v>
      </c>
      <c r="C85" t="s">
        <v>25</v>
      </c>
      <c r="D85" t="s">
        <v>103</v>
      </c>
      <c r="E85" s="3">
        <v>47</v>
      </c>
      <c r="F85">
        <v>4</v>
      </c>
      <c r="G85" s="1">
        <v>19</v>
      </c>
      <c r="H85" s="1">
        <v>21</v>
      </c>
      <c r="I85" s="1">
        <v>20</v>
      </c>
      <c r="J85" s="1">
        <f>I85-G85</f>
        <v>1</v>
      </c>
      <c r="K85" s="2">
        <v>9.3402162439682908</v>
      </c>
      <c r="L85" s="2">
        <v>11.895768109489889</v>
      </c>
      <c r="M85" s="2">
        <v>15.727743709788603</v>
      </c>
      <c r="N85" s="2">
        <v>11.803252974631281</v>
      </c>
      <c r="O85" s="2">
        <v>158.78367614746094</v>
      </c>
      <c r="P85" s="2">
        <v>202.22805786132812</v>
      </c>
      <c r="Q85" s="2">
        <v>267.37164306640625</v>
      </c>
      <c r="R85" s="2">
        <v>200.65530056873178</v>
      </c>
      <c r="S85" s="1">
        <v>19</v>
      </c>
      <c r="T85" s="1">
        <v>13</v>
      </c>
      <c r="U85" s="1">
        <v>79</v>
      </c>
      <c r="V85">
        <v>212.29587843377996</v>
      </c>
      <c r="W85">
        <v>1</v>
      </c>
      <c r="X85" s="2">
        <f>draft_board[[#This Row],[expected_ppg]]-draft_board[[#This Row],[median_ppg]]</f>
        <v>-9.2515134858608405E-2</v>
      </c>
      <c r="Y85">
        <v>16</v>
      </c>
      <c r="AB85"/>
      <c r="AG85"/>
      <c r="AK85"/>
      <c r="AL85"/>
      <c r="AM85"/>
      <c r="AO85"/>
    </row>
    <row r="86" spans="1:41" hidden="1" x14ac:dyDescent="0.2">
      <c r="A86" s="4" t="s">
        <v>140</v>
      </c>
      <c r="B86" s="4" t="s">
        <v>141</v>
      </c>
      <c r="C86" s="4" t="s">
        <v>32</v>
      </c>
      <c r="D86" s="4" t="s">
        <v>36</v>
      </c>
      <c r="E86" s="6">
        <v>46.25</v>
      </c>
      <c r="F86" s="4">
        <v>3</v>
      </c>
      <c r="G86" s="5">
        <v>22</v>
      </c>
      <c r="H86" s="5">
        <v>25</v>
      </c>
      <c r="I86" s="5">
        <v>15</v>
      </c>
      <c r="J86" s="5">
        <f>I86-G86</f>
        <v>-7</v>
      </c>
      <c r="K86" s="7">
        <v>10.332024069393382</v>
      </c>
      <c r="L86" s="7">
        <v>12.959587545955882</v>
      </c>
      <c r="M86" s="7">
        <v>14.320774751551012</v>
      </c>
      <c r="N86" s="7">
        <v>11.762656157881471</v>
      </c>
      <c r="O86" s="7">
        <v>175.6444091796875</v>
      </c>
      <c r="P86" s="7">
        <v>220.31298828125</v>
      </c>
      <c r="Q86" s="7">
        <v>243.45317077636719</v>
      </c>
      <c r="R86" s="7">
        <v>199.96515468398502</v>
      </c>
      <c r="S86" s="5">
        <v>17</v>
      </c>
      <c r="T86" s="5">
        <v>27</v>
      </c>
      <c r="U86" s="5">
        <v>80</v>
      </c>
      <c r="V86" s="4">
        <v>208.14741041084017</v>
      </c>
      <c r="W86" s="4">
        <v>2.9</v>
      </c>
      <c r="X86" s="7">
        <f>draft_board[[#This Row],[expected_ppg]]-draft_board[[#This Row],[median_ppg]]</f>
        <v>-1.196931388074411</v>
      </c>
      <c r="Y86" s="4">
        <v>14.1</v>
      </c>
      <c r="AB86"/>
      <c r="AG86"/>
      <c r="AK86"/>
      <c r="AL86"/>
      <c r="AM86"/>
      <c r="AO86"/>
    </row>
    <row r="87" spans="1:41" hidden="1" x14ac:dyDescent="0.2">
      <c r="A87" t="s">
        <v>142</v>
      </c>
      <c r="B87" t="s">
        <v>143</v>
      </c>
      <c r="C87" t="s">
        <v>84</v>
      </c>
      <c r="D87" t="s">
        <v>45</v>
      </c>
      <c r="E87" s="3">
        <v>46.5</v>
      </c>
      <c r="F87">
        <v>2</v>
      </c>
      <c r="G87" s="1">
        <v>4</v>
      </c>
      <c r="H87" s="1">
        <v>3</v>
      </c>
      <c r="I87" s="1">
        <v>3</v>
      </c>
      <c r="J87" s="1">
        <f>I87-G87</f>
        <v>-1</v>
      </c>
      <c r="K87" s="2">
        <v>9.5245890897863053</v>
      </c>
      <c r="L87" s="2">
        <v>11.914068783030791</v>
      </c>
      <c r="M87" s="2">
        <v>13.603818108053769</v>
      </c>
      <c r="N87" s="2">
        <v>11.636346891752495</v>
      </c>
      <c r="O87" s="2">
        <v>161.91801452636719</v>
      </c>
      <c r="P87" s="2">
        <v>202.53916931152344</v>
      </c>
      <c r="Q87" s="2">
        <v>231.26490783691406</v>
      </c>
      <c r="R87" s="2">
        <v>197.81789715979244</v>
      </c>
      <c r="S87" s="1">
        <v>3</v>
      </c>
      <c r="T87" s="1">
        <v>6</v>
      </c>
      <c r="U87" s="1">
        <v>81</v>
      </c>
      <c r="V87">
        <v>200.67202383624388</v>
      </c>
      <c r="W87">
        <v>1.3</v>
      </c>
      <c r="X87" s="2">
        <f>draft_board[[#This Row],[expected_ppg]]-draft_board[[#This Row],[median_ppg]]</f>
        <v>-0.27772189127829527</v>
      </c>
      <c r="Y87">
        <v>15.7</v>
      </c>
      <c r="AB87"/>
      <c r="AG87"/>
      <c r="AK87"/>
      <c r="AL87"/>
      <c r="AM87"/>
      <c r="AO87"/>
    </row>
    <row r="88" spans="1:41" hidden="1" x14ac:dyDescent="0.2">
      <c r="A88" t="s">
        <v>202</v>
      </c>
      <c r="B88" t="s">
        <v>203</v>
      </c>
      <c r="C88" t="s">
        <v>32</v>
      </c>
      <c r="D88" t="s">
        <v>199</v>
      </c>
      <c r="E88" s="3">
        <v>77.75</v>
      </c>
      <c r="F88">
        <v>4</v>
      </c>
      <c r="G88" s="1">
        <v>32</v>
      </c>
      <c r="H88" s="1">
        <v>26</v>
      </c>
      <c r="I88" s="1">
        <v>27</v>
      </c>
      <c r="J88" s="1">
        <f>I88-G88</f>
        <v>-5</v>
      </c>
      <c r="K88" s="2">
        <v>9.6385910931755507</v>
      </c>
      <c r="L88" s="2">
        <v>11.70176337747013</v>
      </c>
      <c r="M88" s="2">
        <v>14.490599688361673</v>
      </c>
      <c r="N88" s="2">
        <v>11.443090037685215</v>
      </c>
      <c r="O88" s="2">
        <v>163.85604858398438</v>
      </c>
      <c r="P88" s="2">
        <v>198.92997741699219</v>
      </c>
      <c r="Q88" s="2">
        <v>246.34019470214844</v>
      </c>
      <c r="R88" s="2">
        <v>194.53253064064864</v>
      </c>
      <c r="S88" s="1">
        <v>23</v>
      </c>
      <c r="T88" s="1">
        <v>25</v>
      </c>
      <c r="U88" s="1">
        <v>82</v>
      </c>
      <c r="V88">
        <v>203.93953344776571</v>
      </c>
      <c r="W88">
        <v>1</v>
      </c>
      <c r="X88" s="2">
        <f>draft_board[[#This Row],[expected_ppg]]-draft_board[[#This Row],[median_ppg]]</f>
        <v>-0.2586733397849148</v>
      </c>
      <c r="Y88">
        <v>16</v>
      </c>
      <c r="AB88"/>
      <c r="AG88"/>
      <c r="AK88"/>
      <c r="AL88"/>
      <c r="AM88"/>
      <c r="AO88"/>
    </row>
    <row r="89" spans="1:41" hidden="1" x14ac:dyDescent="0.2">
      <c r="A89" s="4" t="s">
        <v>218</v>
      </c>
      <c r="B89" s="4" t="s">
        <v>219</v>
      </c>
      <c r="C89" s="4" t="s">
        <v>25</v>
      </c>
      <c r="D89" s="4" t="s">
        <v>220</v>
      </c>
      <c r="E89" s="6">
        <v>88.75</v>
      </c>
      <c r="F89" s="4">
        <v>5</v>
      </c>
      <c r="G89" s="5">
        <v>30</v>
      </c>
      <c r="H89" s="5">
        <v>22</v>
      </c>
      <c r="I89" s="5">
        <v>30</v>
      </c>
      <c r="J89" s="5">
        <f>I89-G89</f>
        <v>0</v>
      </c>
      <c r="K89" s="7">
        <v>6.5504074096679688</v>
      </c>
      <c r="L89" s="7">
        <v>9.0741361730238967</v>
      </c>
      <c r="M89" s="7">
        <v>11.481061150045957</v>
      </c>
      <c r="N89" s="7">
        <v>11.424578133701649</v>
      </c>
      <c r="O89" s="7">
        <v>111.35692596435547</v>
      </c>
      <c r="P89" s="7">
        <v>154.26031494140625</v>
      </c>
      <c r="Q89" s="7">
        <v>195.17803955078125</v>
      </c>
      <c r="R89" s="7">
        <v>194.21782827292805</v>
      </c>
      <c r="S89" s="5">
        <v>29</v>
      </c>
      <c r="T89" s="5">
        <v>32</v>
      </c>
      <c r="U89" s="5">
        <v>83</v>
      </c>
      <c r="V89" s="4">
        <v>177.9337111945695</v>
      </c>
      <c r="W89" s="4">
        <v>0.9</v>
      </c>
      <c r="X89" s="7">
        <f>draft_board[[#This Row],[expected_ppg]]-draft_board[[#This Row],[median_ppg]]</f>
        <v>2.3504419606777525</v>
      </c>
      <c r="Y89" s="4">
        <v>16.100000000000001</v>
      </c>
      <c r="AB89"/>
      <c r="AG89"/>
      <c r="AK89"/>
      <c r="AL89"/>
      <c r="AM89"/>
      <c r="AO89"/>
    </row>
    <row r="90" spans="1:41" hidden="1" x14ac:dyDescent="0.2">
      <c r="A90" s="4" t="s">
        <v>255</v>
      </c>
      <c r="B90" s="4" t="s">
        <v>256</v>
      </c>
      <c r="C90" s="4" t="s">
        <v>32</v>
      </c>
      <c r="D90" s="4" t="s">
        <v>78</v>
      </c>
      <c r="E90" s="6">
        <v>115</v>
      </c>
      <c r="F90" s="4">
        <v>3</v>
      </c>
      <c r="G90" s="5">
        <v>44</v>
      </c>
      <c r="H90" s="5">
        <v>27</v>
      </c>
      <c r="I90" s="5">
        <v>20</v>
      </c>
      <c r="J90" s="5">
        <f>I90-G90</f>
        <v>-24</v>
      </c>
      <c r="K90" s="7">
        <v>9.781460032743567</v>
      </c>
      <c r="L90" s="7">
        <v>12.334563311408548</v>
      </c>
      <c r="M90" s="7">
        <v>15.443292954388786</v>
      </c>
      <c r="N90" s="7">
        <v>11.395672411713566</v>
      </c>
      <c r="O90" s="7">
        <v>166.28482055664062</v>
      </c>
      <c r="P90" s="7">
        <v>209.68757629394531</v>
      </c>
      <c r="Q90" s="7">
        <v>262.53598022460938</v>
      </c>
      <c r="R90" s="7">
        <v>193.72643099913063</v>
      </c>
      <c r="S90" s="5">
        <v>20</v>
      </c>
      <c r="T90" s="5">
        <v>18</v>
      </c>
      <c r="U90" s="5">
        <v>84</v>
      </c>
      <c r="V90" s="4">
        <v>208.88097367827626</v>
      </c>
      <c r="W90" s="4">
        <v>2.8</v>
      </c>
      <c r="X90" s="7">
        <f>draft_board[[#This Row],[expected_ppg]]-draft_board[[#This Row],[median_ppg]]</f>
        <v>-0.93889089969498229</v>
      </c>
      <c r="Y90" s="4">
        <v>14.2</v>
      </c>
      <c r="AB90"/>
      <c r="AG90"/>
      <c r="AK90"/>
      <c r="AL90"/>
      <c r="AM90"/>
      <c r="AO90"/>
    </row>
    <row r="91" spans="1:41" hidden="1" x14ac:dyDescent="0.2">
      <c r="A91" s="4" t="s">
        <v>185</v>
      </c>
      <c r="B91" s="4" t="s">
        <v>186</v>
      </c>
      <c r="C91" s="4" t="s">
        <v>84</v>
      </c>
      <c r="D91" s="4" t="s">
        <v>159</v>
      </c>
      <c r="E91" s="6">
        <v>68.5</v>
      </c>
      <c r="F91" s="4">
        <v>2</v>
      </c>
      <c r="G91" s="5">
        <v>6</v>
      </c>
      <c r="H91" s="5">
        <v>4</v>
      </c>
      <c r="I91" s="5">
        <v>6</v>
      </c>
      <c r="J91" s="5">
        <f>I91-G91</f>
        <v>0</v>
      </c>
      <c r="K91" s="7">
        <v>8.491122975068933</v>
      </c>
      <c r="L91" s="7">
        <v>10.969551535213695</v>
      </c>
      <c r="M91" s="7">
        <v>13.670474781709558</v>
      </c>
      <c r="N91" s="7">
        <v>11.377080411274621</v>
      </c>
      <c r="O91" s="7">
        <v>144.34909057617188</v>
      </c>
      <c r="P91" s="7">
        <v>186.48237609863281</v>
      </c>
      <c r="Q91" s="7">
        <v>232.3980712890625</v>
      </c>
      <c r="R91" s="7">
        <v>193.41036699166855</v>
      </c>
      <c r="S91" s="5">
        <v>8</v>
      </c>
      <c r="T91" s="5">
        <v>5</v>
      </c>
      <c r="U91" s="5">
        <v>85</v>
      </c>
      <c r="V91" s="4">
        <v>195.29442299778739</v>
      </c>
      <c r="W91" s="4">
        <v>1.6</v>
      </c>
      <c r="X91" s="7">
        <f>draft_board[[#This Row],[expected_ppg]]-draft_board[[#This Row],[median_ppg]]</f>
        <v>0.40752887606092614</v>
      </c>
      <c r="Y91" s="4">
        <v>15.4</v>
      </c>
      <c r="AB91"/>
      <c r="AG91"/>
      <c r="AK91"/>
      <c r="AL91"/>
      <c r="AM91"/>
      <c r="AO91"/>
    </row>
    <row r="92" spans="1:41" s="8" customFormat="1" hidden="1" x14ac:dyDescent="0.2">
      <c r="A92" s="4" t="s">
        <v>176</v>
      </c>
      <c r="B92" s="4" t="s">
        <v>177</v>
      </c>
      <c r="C92" s="4" t="s">
        <v>25</v>
      </c>
      <c r="D92" s="4" t="s">
        <v>75</v>
      </c>
      <c r="E92" s="6">
        <v>66</v>
      </c>
      <c r="F92" s="4">
        <v>5</v>
      </c>
      <c r="G92" s="5">
        <v>24</v>
      </c>
      <c r="H92" s="5">
        <v>23</v>
      </c>
      <c r="I92" s="5">
        <v>17</v>
      </c>
      <c r="J92" s="5">
        <f>I92-G92</f>
        <v>-7</v>
      </c>
      <c r="K92" s="7">
        <v>8.8481831270105697</v>
      </c>
      <c r="L92" s="7">
        <v>12.272008559283089</v>
      </c>
      <c r="M92" s="7">
        <v>14.457442339728861</v>
      </c>
      <c r="N92" s="7">
        <v>11.373982467073967</v>
      </c>
      <c r="O92" s="7">
        <v>150.41911315917969</v>
      </c>
      <c r="P92" s="7">
        <v>208.6241455078125</v>
      </c>
      <c r="Q92" s="7">
        <v>245.77651977539062</v>
      </c>
      <c r="R92" s="7">
        <v>193.35770194025744</v>
      </c>
      <c r="S92" s="5">
        <v>21</v>
      </c>
      <c r="T92" s="5">
        <v>20</v>
      </c>
      <c r="U92" s="5">
        <v>86</v>
      </c>
      <c r="V92" s="4">
        <v>200.49562953458187</v>
      </c>
      <c r="W92" s="4">
        <v>1.1000000000000001</v>
      </c>
      <c r="X92" s="7">
        <f>draft_board[[#This Row],[expected_ppg]]-draft_board[[#This Row],[median_ppg]]</f>
        <v>-0.89802609220912188</v>
      </c>
      <c r="Y92" s="4">
        <v>15.9</v>
      </c>
    </row>
    <row r="93" spans="1:41" x14ac:dyDescent="0.2">
      <c r="A93" t="s">
        <v>493</v>
      </c>
      <c r="B93" t="s">
        <v>494</v>
      </c>
      <c r="C93" t="s">
        <v>88</v>
      </c>
      <c r="D93" t="s">
        <v>159</v>
      </c>
      <c r="E93" s="3"/>
      <c r="F93">
        <v>5</v>
      </c>
      <c r="H93" s="1">
        <v>38</v>
      </c>
      <c r="I93" s="1">
        <v>44</v>
      </c>
      <c r="J93" s="1">
        <f>I93-G93</f>
        <v>44</v>
      </c>
      <c r="K93" s="2">
        <v>3.0828453512752758</v>
      </c>
      <c r="L93" s="2">
        <v>8.8789861342486205</v>
      </c>
      <c r="M93" s="2">
        <v>14.07950636919807</v>
      </c>
      <c r="N93" s="2">
        <v>9.7161488252527572</v>
      </c>
      <c r="O93" s="2">
        <v>52.408370971679688</v>
      </c>
      <c r="P93" s="2">
        <v>150.94276428222656</v>
      </c>
      <c r="Q93" s="2">
        <v>239.35160827636719</v>
      </c>
      <c r="R93" s="2">
        <v>165.17453002929688</v>
      </c>
      <c r="S93" s="1">
        <v>41</v>
      </c>
      <c r="T93" s="1">
        <v>38</v>
      </c>
      <c r="U93" s="1">
        <v>118</v>
      </c>
      <c r="V93">
        <v>164.87442169189453</v>
      </c>
      <c r="W93">
        <v>17</v>
      </c>
      <c r="X93" s="2">
        <f>draft_board[[#This Row],[expected_ppg]]-draft_board[[#This Row],[median_ppg]]</f>
        <v>0.83716269100413676</v>
      </c>
      <c r="Y93">
        <v>0</v>
      </c>
      <c r="AB93"/>
      <c r="AG93"/>
      <c r="AK93"/>
      <c r="AL93"/>
      <c r="AM93"/>
      <c r="AO93"/>
    </row>
    <row r="94" spans="1:41" hidden="1" x14ac:dyDescent="0.2">
      <c r="A94" s="4" t="s">
        <v>191</v>
      </c>
      <c r="B94" s="4" t="s">
        <v>192</v>
      </c>
      <c r="C94" s="4" t="s">
        <v>84</v>
      </c>
      <c r="D94" s="4" t="s">
        <v>29</v>
      </c>
      <c r="E94" s="6">
        <v>73.75</v>
      </c>
      <c r="F94" s="4">
        <v>2</v>
      </c>
      <c r="G94" s="5">
        <v>8</v>
      </c>
      <c r="H94" s="5">
        <v>5</v>
      </c>
      <c r="I94" s="5">
        <v>5</v>
      </c>
      <c r="J94" s="5">
        <f>I94-G94</f>
        <v>-3</v>
      </c>
      <c r="K94" s="7">
        <v>8.9204568301930145</v>
      </c>
      <c r="L94" s="7">
        <v>11.325127096737132</v>
      </c>
      <c r="M94" s="7">
        <v>13.594859403722426</v>
      </c>
      <c r="N94" s="7">
        <v>11.168079681154087</v>
      </c>
      <c r="O94" s="7">
        <v>151.64776611328125</v>
      </c>
      <c r="P94" s="7">
        <v>192.52716064453125</v>
      </c>
      <c r="Q94" s="7">
        <v>231.11260986328125</v>
      </c>
      <c r="R94" s="7">
        <v>189.85735457961948</v>
      </c>
      <c r="S94" s="5">
        <v>4</v>
      </c>
      <c r="T94" s="5">
        <v>7</v>
      </c>
      <c r="U94" s="5">
        <v>87</v>
      </c>
      <c r="V94" s="4">
        <v>194.59201347145037</v>
      </c>
      <c r="W94" s="4">
        <v>3.1</v>
      </c>
      <c r="X94" s="7">
        <f>draft_board[[#This Row],[expected_ppg]]-draft_board[[#This Row],[median_ppg]]</f>
        <v>-0.15704741558304569</v>
      </c>
      <c r="Y94" s="4">
        <v>13.9</v>
      </c>
      <c r="AB94"/>
      <c r="AG94"/>
      <c r="AK94"/>
      <c r="AL94"/>
      <c r="AM94"/>
      <c r="AO94"/>
    </row>
    <row r="95" spans="1:41" hidden="1" x14ac:dyDescent="0.2">
      <c r="A95" s="8" t="s">
        <v>70</v>
      </c>
      <c r="B95" s="8" t="s">
        <v>71</v>
      </c>
      <c r="C95" s="8" t="s">
        <v>25</v>
      </c>
      <c r="D95" s="8" t="s">
        <v>72</v>
      </c>
      <c r="E95" s="10">
        <v>17.5</v>
      </c>
      <c r="F95" s="8">
        <v>5</v>
      </c>
      <c r="G95" s="9">
        <v>10</v>
      </c>
      <c r="H95" s="9">
        <v>24</v>
      </c>
      <c r="I95" s="9">
        <v>24</v>
      </c>
      <c r="J95" s="9">
        <f>I95-G95</f>
        <v>14</v>
      </c>
      <c r="K95" s="11">
        <v>6.8245077694163605</v>
      </c>
      <c r="L95" s="11">
        <v>10.300360286937041</v>
      </c>
      <c r="M95" s="11">
        <v>13.17104294720818</v>
      </c>
      <c r="N95" s="11">
        <v>11.091511365880903</v>
      </c>
      <c r="O95" s="11">
        <v>116.01663208007812</v>
      </c>
      <c r="P95" s="11">
        <v>175.10612487792969</v>
      </c>
      <c r="Q95" s="11">
        <v>223.90773010253906</v>
      </c>
      <c r="R95" s="11">
        <v>188.55569321997535</v>
      </c>
      <c r="S95" s="9">
        <v>28</v>
      </c>
      <c r="T95" s="9">
        <v>23</v>
      </c>
      <c r="U95" s="9">
        <v>88</v>
      </c>
      <c r="V95" s="8">
        <v>184.653492056765</v>
      </c>
      <c r="W95" s="8">
        <v>1.1000000000000001</v>
      </c>
      <c r="X95" s="11">
        <f>draft_board[[#This Row],[expected_ppg]]-draft_board[[#This Row],[median_ppg]]</f>
        <v>0.79115107894386227</v>
      </c>
      <c r="Y95" s="8">
        <v>15.9</v>
      </c>
      <c r="AB95"/>
      <c r="AG95"/>
      <c r="AK95"/>
      <c r="AL95"/>
      <c r="AM95"/>
      <c r="AO95"/>
    </row>
    <row r="96" spans="1:41" x14ac:dyDescent="0.2">
      <c r="A96" t="s">
        <v>495</v>
      </c>
      <c r="B96" t="s">
        <v>496</v>
      </c>
      <c r="C96" t="s">
        <v>88</v>
      </c>
      <c r="D96" t="s">
        <v>65</v>
      </c>
      <c r="E96" s="3"/>
      <c r="F96">
        <v>5</v>
      </c>
      <c r="H96" s="1">
        <v>41</v>
      </c>
      <c r="I96" s="1">
        <v>41</v>
      </c>
      <c r="J96" s="1">
        <f>I96-G96</f>
        <v>41</v>
      </c>
      <c r="K96" s="2">
        <v>3.924209145938649</v>
      </c>
      <c r="L96" s="2">
        <v>9.6247073902803315</v>
      </c>
      <c r="M96" s="2">
        <v>14.64994452981388</v>
      </c>
      <c r="N96" s="2">
        <v>8.9963540469898895</v>
      </c>
      <c r="O96" s="2">
        <v>66.711555480957031</v>
      </c>
      <c r="P96" s="2">
        <v>163.62002563476562</v>
      </c>
      <c r="Q96" s="2">
        <v>249.04905700683594</v>
      </c>
      <c r="R96" s="2">
        <v>152.93801879882812</v>
      </c>
      <c r="S96" s="1">
        <v>36</v>
      </c>
      <c r="T96" s="1">
        <v>36</v>
      </c>
      <c r="U96" s="1">
        <v>138</v>
      </c>
      <c r="V96">
        <v>164.52603759765623</v>
      </c>
      <c r="W96">
        <v>0.7</v>
      </c>
      <c r="X96" s="2">
        <f>draft_board[[#This Row],[expected_ppg]]-draft_board[[#This Row],[median_ppg]]</f>
        <v>-0.62835334329044201</v>
      </c>
      <c r="Y96">
        <v>16.3</v>
      </c>
      <c r="AB96"/>
      <c r="AG96"/>
      <c r="AK96"/>
      <c r="AL96"/>
      <c r="AM96"/>
      <c r="AO96"/>
    </row>
    <row r="97" spans="1:41" hidden="1" x14ac:dyDescent="0.2">
      <c r="A97" s="4" t="s">
        <v>237</v>
      </c>
      <c r="B97" s="4" t="s">
        <v>238</v>
      </c>
      <c r="C97" s="4" t="s">
        <v>32</v>
      </c>
      <c r="D97" s="4" t="s">
        <v>85</v>
      </c>
      <c r="E97" s="6">
        <v>102.5</v>
      </c>
      <c r="F97" s="4">
        <v>4</v>
      </c>
      <c r="G97" s="5">
        <v>37</v>
      </c>
      <c r="H97" s="5">
        <v>28</v>
      </c>
      <c r="I97" s="5">
        <v>30</v>
      </c>
      <c r="J97" s="5">
        <f>I97-G97</f>
        <v>-7</v>
      </c>
      <c r="K97" s="7">
        <v>9.315338134765625</v>
      </c>
      <c r="L97" s="7">
        <v>10.898180793313418</v>
      </c>
      <c r="M97" s="7">
        <v>14.082606596105238</v>
      </c>
      <c r="N97" s="7">
        <v>11.090637679535623</v>
      </c>
      <c r="O97" s="7">
        <v>158.36074829101562</v>
      </c>
      <c r="P97" s="7">
        <v>185.26907348632812</v>
      </c>
      <c r="Q97" s="7">
        <v>239.40431213378906</v>
      </c>
      <c r="R97" s="7">
        <v>188.54084055210561</v>
      </c>
      <c r="S97" s="5">
        <v>25</v>
      </c>
      <c r="T97" s="5">
        <v>31</v>
      </c>
      <c r="U97" s="5">
        <v>89</v>
      </c>
      <c r="V97" s="4">
        <v>197.76386357439264</v>
      </c>
      <c r="W97" s="4">
        <v>2.7</v>
      </c>
      <c r="X97" s="7">
        <f>draft_board[[#This Row],[expected_ppg]]-draft_board[[#This Row],[median_ppg]]</f>
        <v>0.19245688622220491</v>
      </c>
      <c r="Y97" s="4">
        <v>14.3</v>
      </c>
      <c r="AB97"/>
      <c r="AG97"/>
      <c r="AK97"/>
      <c r="AL97"/>
      <c r="AM97"/>
      <c r="AO97"/>
    </row>
    <row r="98" spans="1:41" s="4" customFormat="1" hidden="1" x14ac:dyDescent="0.2">
      <c r="A98" s="4" t="s">
        <v>253</v>
      </c>
      <c r="B98" s="4" t="s">
        <v>254</v>
      </c>
      <c r="C98" s="4" t="s">
        <v>32</v>
      </c>
      <c r="D98" s="4" t="s">
        <v>45</v>
      </c>
      <c r="E98" s="6">
        <v>113</v>
      </c>
      <c r="F98" s="4">
        <v>3</v>
      </c>
      <c r="G98" s="5">
        <v>41</v>
      </c>
      <c r="H98" s="5">
        <v>29</v>
      </c>
      <c r="I98" s="5">
        <v>19</v>
      </c>
      <c r="J98" s="5">
        <f>I98-G98</f>
        <v>-22</v>
      </c>
      <c r="K98" s="7">
        <v>10.350541956284466</v>
      </c>
      <c r="L98" s="7">
        <v>12.391726325539981</v>
      </c>
      <c r="M98" s="7">
        <v>14.792668062097887</v>
      </c>
      <c r="N98" s="7">
        <v>11.026843908748532</v>
      </c>
      <c r="O98" s="7">
        <v>175.95921325683594</v>
      </c>
      <c r="P98" s="7">
        <v>210.65934753417969</v>
      </c>
      <c r="Q98" s="7">
        <v>251.47535705566406</v>
      </c>
      <c r="R98" s="7">
        <v>187.45634644872504</v>
      </c>
      <c r="S98" s="5">
        <v>16</v>
      </c>
      <c r="T98" s="5">
        <v>24</v>
      </c>
      <c r="U98" s="5">
        <v>90</v>
      </c>
      <c r="V98" s="4">
        <v>204.36262299242892</v>
      </c>
      <c r="W98" s="4">
        <v>2.7</v>
      </c>
      <c r="X98" s="7">
        <f>draft_board[[#This Row],[expected_ppg]]-draft_board[[#This Row],[median_ppg]]</f>
        <v>-1.3648824167914491</v>
      </c>
      <c r="Y98" s="4">
        <v>14.3</v>
      </c>
    </row>
    <row r="99" spans="1:41" hidden="1" x14ac:dyDescent="0.2">
      <c r="A99" t="s">
        <v>295</v>
      </c>
      <c r="B99" t="s">
        <v>296</v>
      </c>
      <c r="C99" t="s">
        <v>32</v>
      </c>
      <c r="D99" t="s">
        <v>53</v>
      </c>
      <c r="E99" s="3">
        <v>145.75</v>
      </c>
      <c r="F99">
        <v>4</v>
      </c>
      <c r="G99" s="1">
        <v>52</v>
      </c>
      <c r="H99" s="1">
        <v>30</v>
      </c>
      <c r="I99" s="1">
        <v>39</v>
      </c>
      <c r="J99" s="1">
        <f>I99-G99</f>
        <v>-13</v>
      </c>
      <c r="K99" s="2">
        <v>8.1337172564338243</v>
      </c>
      <c r="L99" s="2">
        <v>9.700015797334558</v>
      </c>
      <c r="M99" s="2">
        <v>11.449697157915901</v>
      </c>
      <c r="N99" s="2">
        <v>10.927322088769168</v>
      </c>
      <c r="O99" s="2">
        <v>138.273193359375</v>
      </c>
      <c r="P99" s="2">
        <v>164.9002685546875</v>
      </c>
      <c r="Q99" s="2">
        <v>194.64485168457031</v>
      </c>
      <c r="R99" s="2">
        <v>185.76447550907585</v>
      </c>
      <c r="S99" s="1">
        <v>33</v>
      </c>
      <c r="T99" s="1">
        <v>46</v>
      </c>
      <c r="U99" s="1">
        <v>91</v>
      </c>
      <c r="V99">
        <v>178.93033193178402</v>
      </c>
      <c r="W99">
        <v>0.9</v>
      </c>
      <c r="X99" s="2">
        <f>draft_board[[#This Row],[expected_ppg]]-draft_board[[#This Row],[median_ppg]]</f>
        <v>1.2273062914346102</v>
      </c>
      <c r="Y99">
        <v>16.100000000000001</v>
      </c>
      <c r="AB99"/>
      <c r="AG99"/>
      <c r="AK99"/>
      <c r="AL99"/>
      <c r="AM99"/>
      <c r="AO99"/>
    </row>
    <row r="100" spans="1:41" x14ac:dyDescent="0.2">
      <c r="A100" t="s">
        <v>497</v>
      </c>
      <c r="B100" t="s">
        <v>498</v>
      </c>
      <c r="C100" t="s">
        <v>88</v>
      </c>
      <c r="D100" t="s">
        <v>91</v>
      </c>
      <c r="E100" s="3"/>
      <c r="F100">
        <v>5</v>
      </c>
      <c r="H100" s="1">
        <v>40</v>
      </c>
      <c r="I100" s="1">
        <v>43</v>
      </c>
      <c r="J100" s="1">
        <f>I100-G100</f>
        <v>43</v>
      </c>
      <c r="K100" s="2">
        <v>3.6510467529296875</v>
      </c>
      <c r="L100" s="2">
        <v>9.1249739703010118</v>
      </c>
      <c r="M100" s="2">
        <v>14.470704022575827</v>
      </c>
      <c r="N100" s="2">
        <v>9.0854653751148895</v>
      </c>
      <c r="O100" s="2">
        <v>62.067794799804688</v>
      </c>
      <c r="P100" s="2">
        <v>155.12455749511719</v>
      </c>
      <c r="Q100" s="2">
        <v>246.00196838378906</v>
      </c>
      <c r="R100" s="2">
        <v>154.45291137695312</v>
      </c>
      <c r="S100" s="1">
        <v>38</v>
      </c>
      <c r="T100" s="1">
        <v>37</v>
      </c>
      <c r="U100" s="1">
        <v>134</v>
      </c>
      <c r="V100">
        <v>163.44060516357422</v>
      </c>
      <c r="W100">
        <v>17</v>
      </c>
      <c r="X100" s="2">
        <f>draft_board[[#This Row],[expected_ppg]]-draft_board[[#This Row],[median_ppg]]</f>
        <v>-3.9508595186122264E-2</v>
      </c>
      <c r="Y100">
        <v>0</v>
      </c>
      <c r="AB100"/>
      <c r="AG100"/>
      <c r="AK100"/>
      <c r="AL100"/>
      <c r="AM100"/>
      <c r="AO100"/>
    </row>
    <row r="101" spans="1:41" x14ac:dyDescent="0.2">
      <c r="A101" t="s">
        <v>307</v>
      </c>
      <c r="B101" t="s">
        <v>308</v>
      </c>
      <c r="C101" t="s">
        <v>88</v>
      </c>
      <c r="D101" t="s">
        <v>59</v>
      </c>
      <c r="E101" s="3">
        <v>169.75</v>
      </c>
      <c r="F101">
        <v>5</v>
      </c>
      <c r="G101" s="1">
        <v>21</v>
      </c>
      <c r="H101" s="1">
        <v>39</v>
      </c>
      <c r="I101" s="1">
        <v>38</v>
      </c>
      <c r="J101" s="1">
        <f>I101-G101</f>
        <v>17</v>
      </c>
      <c r="K101" s="2">
        <v>3.2307461009306064</v>
      </c>
      <c r="L101" s="2">
        <v>10.42989304486443</v>
      </c>
      <c r="M101" s="2">
        <v>13.553763894473805</v>
      </c>
      <c r="N101" s="2">
        <v>9.1088759478400743</v>
      </c>
      <c r="O101" s="2">
        <v>54.922683715820312</v>
      </c>
      <c r="P101" s="2">
        <v>177.30818176269531</v>
      </c>
      <c r="Q101" s="2">
        <v>230.41398620605469</v>
      </c>
      <c r="R101" s="2">
        <v>154.85089111328125</v>
      </c>
      <c r="S101" s="1">
        <v>40</v>
      </c>
      <c r="T101" s="1">
        <v>42</v>
      </c>
      <c r="U101" s="1">
        <v>132</v>
      </c>
      <c r="V101">
        <v>157.5341781616211</v>
      </c>
      <c r="W101">
        <v>0.7</v>
      </c>
      <c r="X101" s="2">
        <f>draft_board[[#This Row],[expected_ppg]]-draft_board[[#This Row],[median_ppg]]</f>
        <v>-1.321017097024356</v>
      </c>
      <c r="Y101">
        <v>16.3</v>
      </c>
      <c r="AB101"/>
      <c r="AG101"/>
      <c r="AK101"/>
      <c r="AL101"/>
      <c r="AM101"/>
      <c r="AO101"/>
    </row>
    <row r="102" spans="1:41" hidden="1" x14ac:dyDescent="0.2">
      <c r="A102" s="4" t="s">
        <v>214</v>
      </c>
      <c r="B102" s="4" t="s">
        <v>215</v>
      </c>
      <c r="C102" s="4" t="s">
        <v>84</v>
      </c>
      <c r="D102" s="4" t="s">
        <v>42</v>
      </c>
      <c r="E102" s="6">
        <v>87.5</v>
      </c>
      <c r="F102" s="4">
        <v>2</v>
      </c>
      <c r="G102" s="5">
        <v>9</v>
      </c>
      <c r="H102" s="5">
        <v>6</v>
      </c>
      <c r="I102" s="5">
        <v>7</v>
      </c>
      <c r="J102" s="5">
        <f>I102-G102</f>
        <v>-2</v>
      </c>
      <c r="K102" s="7">
        <v>8.4482511632582717</v>
      </c>
      <c r="L102" s="7">
        <v>10.458915261661305</v>
      </c>
      <c r="M102" s="7">
        <v>13.976922427906709</v>
      </c>
      <c r="N102" s="7">
        <v>10.915135211090284</v>
      </c>
      <c r="O102" s="7">
        <v>143.62026977539062</v>
      </c>
      <c r="P102" s="7">
        <v>177.80155944824219</v>
      </c>
      <c r="Q102" s="7">
        <v>237.60768127441406</v>
      </c>
      <c r="R102" s="7">
        <v>185.55729858853482</v>
      </c>
      <c r="S102" s="5">
        <v>9</v>
      </c>
      <c r="T102" s="5">
        <v>4</v>
      </c>
      <c r="U102" s="5">
        <v>92</v>
      </c>
      <c r="V102" s="4">
        <v>192.78500763166974</v>
      </c>
      <c r="W102" s="4">
        <v>2.2999999999999998</v>
      </c>
      <c r="X102" s="7">
        <f>draft_board[[#This Row],[expected_ppg]]-draft_board[[#This Row],[median_ppg]]</f>
        <v>0.45621994942897892</v>
      </c>
      <c r="Y102" s="4">
        <v>14.7</v>
      </c>
      <c r="AB102"/>
      <c r="AG102"/>
      <c r="AK102"/>
      <c r="AL102"/>
      <c r="AM102"/>
      <c r="AO102"/>
    </row>
    <row r="103" spans="1:41" hidden="1" x14ac:dyDescent="0.2">
      <c r="A103" t="s">
        <v>154</v>
      </c>
      <c r="B103" t="s">
        <v>155</v>
      </c>
      <c r="C103" t="s">
        <v>32</v>
      </c>
      <c r="D103" t="s">
        <v>156</v>
      </c>
      <c r="E103" s="3">
        <v>54.75</v>
      </c>
      <c r="F103">
        <v>4</v>
      </c>
      <c r="G103" s="1">
        <v>24</v>
      </c>
      <c r="H103" s="1">
        <v>31</v>
      </c>
      <c r="I103" s="1">
        <v>37</v>
      </c>
      <c r="J103" s="1">
        <f>I103-G103</f>
        <v>13</v>
      </c>
      <c r="K103" s="2">
        <v>8.0043406767003678</v>
      </c>
      <c r="L103" s="2">
        <v>10.022908827837776</v>
      </c>
      <c r="M103" s="2">
        <v>13.829248764935661</v>
      </c>
      <c r="N103" s="2">
        <v>10.732289479061572</v>
      </c>
      <c r="O103" s="2">
        <v>136.07379150390625</v>
      </c>
      <c r="P103" s="2">
        <v>170.38945007324219</v>
      </c>
      <c r="Q103" s="2">
        <v>235.09722900390625</v>
      </c>
      <c r="R103" s="2">
        <v>182.44892114404672</v>
      </c>
      <c r="S103" s="1">
        <v>34</v>
      </c>
      <c r="T103" s="1">
        <v>32</v>
      </c>
      <c r="U103" s="1">
        <v>94</v>
      </c>
      <c r="V103">
        <v>188.96838757397649</v>
      </c>
      <c r="W103">
        <v>2.1</v>
      </c>
      <c r="X103" s="2">
        <f>draft_board[[#This Row],[expected_ppg]]-draft_board[[#This Row],[median_ppg]]</f>
        <v>0.70938065122379612</v>
      </c>
      <c r="Y103">
        <v>14.9</v>
      </c>
      <c r="AB103"/>
      <c r="AG103"/>
      <c r="AK103"/>
      <c r="AL103"/>
      <c r="AM103"/>
      <c r="AO103"/>
    </row>
    <row r="104" spans="1:41" hidden="1" x14ac:dyDescent="0.2">
      <c r="A104" t="s">
        <v>172</v>
      </c>
      <c r="B104" t="s">
        <v>173</v>
      </c>
      <c r="C104" t="s">
        <v>32</v>
      </c>
      <c r="D104" t="s">
        <v>129</v>
      </c>
      <c r="E104" s="3">
        <v>61.5</v>
      </c>
      <c r="F104">
        <v>4</v>
      </c>
      <c r="G104" s="1">
        <v>27</v>
      </c>
      <c r="H104" s="1">
        <v>32</v>
      </c>
      <c r="I104" s="1">
        <v>22</v>
      </c>
      <c r="J104" s="1">
        <f>I104-G104</f>
        <v>-5</v>
      </c>
      <c r="K104" s="2">
        <v>8.4351636101217835</v>
      </c>
      <c r="L104" s="2">
        <v>11.997345868278952</v>
      </c>
      <c r="M104" s="2">
        <v>14.340583352481618</v>
      </c>
      <c r="N104" s="2">
        <v>10.707505752917884</v>
      </c>
      <c r="O104" s="2">
        <v>143.39778137207031</v>
      </c>
      <c r="P104" s="2">
        <v>203.95487976074219</v>
      </c>
      <c r="Q104" s="2">
        <v>243.7899169921875</v>
      </c>
      <c r="R104" s="2">
        <v>182.02759779960402</v>
      </c>
      <c r="S104" s="1">
        <v>31</v>
      </c>
      <c r="T104" s="1">
        <v>26</v>
      </c>
      <c r="U104" s="1">
        <v>95</v>
      </c>
      <c r="V104">
        <v>192.83033027187233</v>
      </c>
      <c r="W104">
        <v>1.5</v>
      </c>
      <c r="X104" s="2">
        <f>draft_board[[#This Row],[expected_ppg]]-draft_board[[#This Row],[median_ppg]]</f>
        <v>-1.2898401153610681</v>
      </c>
      <c r="Y104">
        <v>15.5</v>
      </c>
      <c r="AB104"/>
      <c r="AG104"/>
      <c r="AK104"/>
      <c r="AL104"/>
      <c r="AM104"/>
      <c r="AO104"/>
    </row>
    <row r="105" spans="1:41" x14ac:dyDescent="0.2">
      <c r="A105" t="s">
        <v>499</v>
      </c>
      <c r="B105" t="s">
        <v>500</v>
      </c>
      <c r="C105" t="s">
        <v>88</v>
      </c>
      <c r="D105" t="s">
        <v>78</v>
      </c>
      <c r="E105" s="3"/>
      <c r="F105">
        <v>5</v>
      </c>
      <c r="H105" s="1">
        <v>43</v>
      </c>
      <c r="I105" s="1">
        <v>45</v>
      </c>
      <c r="J105" s="1">
        <f>I105-G105</f>
        <v>45</v>
      </c>
      <c r="K105" s="2">
        <v>3.8333102955537686</v>
      </c>
      <c r="L105" s="2">
        <v>8.3592313878676467</v>
      </c>
      <c r="M105" s="2">
        <v>13.283772188074449</v>
      </c>
      <c r="N105" s="2">
        <v>8.3882562973920045</v>
      </c>
      <c r="O105" s="2">
        <v>65.166275024414062</v>
      </c>
      <c r="P105" s="2">
        <v>142.10693359375</v>
      </c>
      <c r="Q105" s="2">
        <v>225.82412719726562</v>
      </c>
      <c r="R105" s="2">
        <v>142.60035705566406</v>
      </c>
      <c r="S105" s="1">
        <v>37</v>
      </c>
      <c r="T105" s="1">
        <v>43</v>
      </c>
      <c r="U105" s="1">
        <v>155</v>
      </c>
      <c r="V105">
        <v>152.08067169189454</v>
      </c>
      <c r="W105">
        <v>17</v>
      </c>
      <c r="X105" s="2">
        <f>draft_board[[#This Row],[expected_ppg]]-draft_board[[#This Row],[median_ppg]]</f>
        <v>2.9024909524357767E-2</v>
      </c>
      <c r="Y105">
        <v>0</v>
      </c>
      <c r="AB105"/>
      <c r="AG105"/>
      <c r="AK105"/>
      <c r="AL105"/>
      <c r="AM105"/>
      <c r="AO105"/>
    </row>
    <row r="106" spans="1:41" hidden="1" x14ac:dyDescent="0.2">
      <c r="A106" t="s">
        <v>216</v>
      </c>
      <c r="B106" t="s">
        <v>217</v>
      </c>
      <c r="C106" t="s">
        <v>25</v>
      </c>
      <c r="D106" t="s">
        <v>199</v>
      </c>
      <c r="E106" s="3">
        <v>87.75</v>
      </c>
      <c r="F106">
        <v>5</v>
      </c>
      <c r="G106" s="1">
        <v>29</v>
      </c>
      <c r="H106" s="1">
        <v>25</v>
      </c>
      <c r="I106" s="1">
        <v>25</v>
      </c>
      <c r="J106" s="1">
        <f>I106-G106</f>
        <v>-4</v>
      </c>
      <c r="K106" s="2">
        <v>8.3603587431066178</v>
      </c>
      <c r="L106" s="2">
        <v>9.9879536348230697</v>
      </c>
      <c r="M106" s="2">
        <v>10.78178046731388</v>
      </c>
      <c r="N106" s="2">
        <v>10.673467769956837</v>
      </c>
      <c r="O106" s="2">
        <v>142.1260986328125</v>
      </c>
      <c r="P106" s="2">
        <v>169.79521179199219</v>
      </c>
      <c r="Q106" s="2">
        <v>183.29026794433594</v>
      </c>
      <c r="R106" s="2">
        <v>181.44895208926621</v>
      </c>
      <c r="S106" s="1">
        <v>23</v>
      </c>
      <c r="T106" s="1">
        <v>35</v>
      </c>
      <c r="U106" s="1">
        <v>96</v>
      </c>
      <c r="V106">
        <v>174.13677615449637</v>
      </c>
      <c r="W106">
        <v>1</v>
      </c>
      <c r="X106" s="2">
        <f>draft_board[[#This Row],[expected_ppg]]-draft_board[[#This Row],[median_ppg]]</f>
        <v>0.6855141351337668</v>
      </c>
      <c r="Y106">
        <v>16</v>
      </c>
      <c r="AB106"/>
      <c r="AG106"/>
      <c r="AK106"/>
      <c r="AL106"/>
      <c r="AM106"/>
      <c r="AO106"/>
    </row>
    <row r="107" spans="1:41" s="4" customFormat="1" hidden="1" x14ac:dyDescent="0.2">
      <c r="A107" t="s">
        <v>299</v>
      </c>
      <c r="B107" t="s">
        <v>300</v>
      </c>
      <c r="C107" t="s">
        <v>25</v>
      </c>
      <c r="D107" t="s">
        <v>39</v>
      </c>
      <c r="E107" s="3">
        <v>149</v>
      </c>
      <c r="F107">
        <v>6</v>
      </c>
      <c r="G107" s="1">
        <v>44</v>
      </c>
      <c r="H107" s="1">
        <v>26</v>
      </c>
      <c r="I107" s="1">
        <v>26</v>
      </c>
      <c r="J107" s="1">
        <f>I107-G107</f>
        <v>-18</v>
      </c>
      <c r="K107" s="2">
        <v>5.7604450899011947</v>
      </c>
      <c r="L107" s="2">
        <v>9.4607301599839158</v>
      </c>
      <c r="M107" s="2">
        <v>12.234204460592832</v>
      </c>
      <c r="N107" s="2">
        <v>10.668332347601517</v>
      </c>
      <c r="O107" s="2">
        <v>97.927566528320312</v>
      </c>
      <c r="P107" s="2">
        <v>160.83241271972656</v>
      </c>
      <c r="Q107" s="2">
        <v>207.98147583007812</v>
      </c>
      <c r="R107" s="2">
        <v>181.36164990922578</v>
      </c>
      <c r="S107" s="1">
        <v>34</v>
      </c>
      <c r="T107" s="1">
        <v>26</v>
      </c>
      <c r="U107" s="1">
        <v>97</v>
      </c>
      <c r="V107">
        <v>172.66078100930036</v>
      </c>
      <c r="W107">
        <v>0.8</v>
      </c>
      <c r="X107" s="2">
        <f>draft_board[[#This Row],[expected_ppg]]-draft_board[[#This Row],[median_ppg]]</f>
        <v>1.2076021876176011</v>
      </c>
      <c r="Y107">
        <v>16.2</v>
      </c>
    </row>
    <row r="108" spans="1:41" hidden="1" x14ac:dyDescent="0.2">
      <c r="A108" s="4" t="s">
        <v>245</v>
      </c>
      <c r="B108" s="4" t="s">
        <v>246</v>
      </c>
      <c r="C108" s="4" t="s">
        <v>32</v>
      </c>
      <c r="D108" s="4" t="s">
        <v>56</v>
      </c>
      <c r="E108" s="6">
        <v>108</v>
      </c>
      <c r="F108" s="4">
        <v>4</v>
      </c>
      <c r="G108" s="5">
        <v>39</v>
      </c>
      <c r="H108" s="5">
        <v>33</v>
      </c>
      <c r="I108" s="5">
        <v>32</v>
      </c>
      <c r="J108" s="5">
        <f>I108-G108</f>
        <v>-7</v>
      </c>
      <c r="K108" s="7">
        <v>6.7380317239200371</v>
      </c>
      <c r="L108" s="7">
        <v>10.609940472771139</v>
      </c>
      <c r="M108" s="7">
        <v>13.591721478630514</v>
      </c>
      <c r="N108" s="7">
        <v>10.631480293067048</v>
      </c>
      <c r="O108" s="7">
        <v>114.54653930664062</v>
      </c>
      <c r="P108" s="7">
        <v>180.36898803710938</v>
      </c>
      <c r="Q108" s="7">
        <v>231.05926513671875</v>
      </c>
      <c r="R108" s="7">
        <v>180.73516498213982</v>
      </c>
      <c r="S108" s="5">
        <v>44</v>
      </c>
      <c r="T108" s="5">
        <v>34</v>
      </c>
      <c r="U108" s="5">
        <v>99</v>
      </c>
      <c r="V108" s="4">
        <v>182.59466989341368</v>
      </c>
      <c r="W108" s="4">
        <v>2.1</v>
      </c>
      <c r="X108" s="7">
        <f>draft_board[[#This Row],[expected_ppg]]-draft_board[[#This Row],[median_ppg]]</f>
        <v>2.1539820295908285E-2</v>
      </c>
      <c r="Y108" s="4">
        <v>14.9</v>
      </c>
      <c r="AB108"/>
      <c r="AG108"/>
      <c r="AK108"/>
      <c r="AL108"/>
      <c r="AM108"/>
      <c r="AO108"/>
    </row>
    <row r="109" spans="1:41" hidden="1" x14ac:dyDescent="0.2">
      <c r="A109" s="4" t="s">
        <v>233</v>
      </c>
      <c r="B109" s="4" t="s">
        <v>234</v>
      </c>
      <c r="C109" s="4" t="s">
        <v>25</v>
      </c>
      <c r="D109" s="4" t="s">
        <v>139</v>
      </c>
      <c r="E109" s="6">
        <v>102</v>
      </c>
      <c r="F109" s="4">
        <v>5</v>
      </c>
      <c r="G109" s="5">
        <v>34</v>
      </c>
      <c r="H109" s="5">
        <v>27</v>
      </c>
      <c r="I109" s="5">
        <v>23</v>
      </c>
      <c r="J109" s="5">
        <f>I109-G109</f>
        <v>-11</v>
      </c>
      <c r="K109" s="7">
        <v>8.8917685116038605</v>
      </c>
      <c r="L109" s="7">
        <v>10.722171559053308</v>
      </c>
      <c r="M109" s="7">
        <v>12.896571439855238</v>
      </c>
      <c r="N109" s="7">
        <v>10.599553404891392</v>
      </c>
      <c r="O109" s="7">
        <v>151.16006469726562</v>
      </c>
      <c r="P109" s="7">
        <v>182.27691650390625</v>
      </c>
      <c r="Q109" s="7">
        <v>219.24171447753906</v>
      </c>
      <c r="R109" s="7">
        <v>180.19240788315366</v>
      </c>
      <c r="S109" s="5">
        <v>20</v>
      </c>
      <c r="T109" s="5">
        <v>25</v>
      </c>
      <c r="U109" s="5">
        <v>100</v>
      </c>
      <c r="V109" s="4">
        <v>186.10073122429168</v>
      </c>
      <c r="W109" s="4">
        <v>1.3</v>
      </c>
      <c r="X109" s="7">
        <f>draft_board[[#This Row],[expected_ppg]]-draft_board[[#This Row],[median_ppg]]</f>
        <v>-0.12261815416191624</v>
      </c>
      <c r="Y109" s="4">
        <v>15.7</v>
      </c>
      <c r="AB109"/>
      <c r="AG109"/>
      <c r="AK109"/>
      <c r="AL109"/>
      <c r="AM109"/>
      <c r="AO109"/>
    </row>
    <row r="110" spans="1:41" hidden="1" x14ac:dyDescent="0.2">
      <c r="A110" s="4" t="s">
        <v>187</v>
      </c>
      <c r="B110" s="4" t="s">
        <v>188</v>
      </c>
      <c r="C110" s="4" t="s">
        <v>84</v>
      </c>
      <c r="D110" s="4" t="s">
        <v>119</v>
      </c>
      <c r="E110" s="6">
        <v>70</v>
      </c>
      <c r="F110" s="4">
        <v>2</v>
      </c>
      <c r="G110" s="5">
        <v>7</v>
      </c>
      <c r="H110" s="5">
        <v>7</v>
      </c>
      <c r="I110" s="5">
        <v>10</v>
      </c>
      <c r="J110" s="5">
        <f>I110-G110</f>
        <v>3</v>
      </c>
      <c r="K110" s="7">
        <v>7.2769317626953125</v>
      </c>
      <c r="L110" s="7">
        <v>10.060156429515166</v>
      </c>
      <c r="M110" s="7">
        <v>14.354520909926471</v>
      </c>
      <c r="N110" s="7">
        <v>10.520880230954857</v>
      </c>
      <c r="O110" s="7">
        <v>123.70783996582031</v>
      </c>
      <c r="P110" s="7">
        <v>171.02265930175781</v>
      </c>
      <c r="Q110" s="7">
        <v>244.02685546875</v>
      </c>
      <c r="R110" s="7">
        <v>178.85496392623256</v>
      </c>
      <c r="S110" s="5">
        <v>12</v>
      </c>
      <c r="T110" s="5">
        <v>3</v>
      </c>
      <c r="U110" s="5">
        <v>101</v>
      </c>
      <c r="V110" s="4">
        <v>187.37710659690535</v>
      </c>
      <c r="W110" s="4">
        <v>2.2000000000000002</v>
      </c>
      <c r="X110" s="7">
        <f>draft_board[[#This Row],[expected_ppg]]-draft_board[[#This Row],[median_ppg]]</f>
        <v>0.46072380143969127</v>
      </c>
      <c r="Y110" s="4">
        <v>14.8</v>
      </c>
      <c r="AB110"/>
      <c r="AG110"/>
      <c r="AK110"/>
      <c r="AL110"/>
      <c r="AM110"/>
      <c r="AO110"/>
    </row>
    <row r="111" spans="1:41" x14ac:dyDescent="0.2">
      <c r="A111" t="s">
        <v>501</v>
      </c>
      <c r="B111" t="s">
        <v>502</v>
      </c>
      <c r="C111" t="s">
        <v>88</v>
      </c>
      <c r="D111" t="s">
        <v>103</v>
      </c>
      <c r="E111" s="3"/>
      <c r="F111">
        <v>5</v>
      </c>
      <c r="H111" s="1">
        <v>44</v>
      </c>
      <c r="I111" s="1">
        <v>40</v>
      </c>
      <c r="J111" s="1">
        <f>I111-G111</f>
        <v>40</v>
      </c>
      <c r="K111" s="2">
        <v>2.3663909014533546</v>
      </c>
      <c r="L111" s="2">
        <v>9.6416985006893388</v>
      </c>
      <c r="M111" s="2">
        <v>13.623294605928308</v>
      </c>
      <c r="N111" s="2">
        <v>8.1508026123046875</v>
      </c>
      <c r="O111" s="2">
        <v>40.228645324707031</v>
      </c>
      <c r="P111" s="2">
        <v>163.90887451171875</v>
      </c>
      <c r="Q111" s="2">
        <v>231.59600830078125</v>
      </c>
      <c r="R111" s="2">
        <v>138.56364440917969</v>
      </c>
      <c r="S111" s="1">
        <v>45</v>
      </c>
      <c r="T111" s="1">
        <v>41</v>
      </c>
      <c r="U111" s="1">
        <v>156</v>
      </c>
      <c r="V111">
        <v>146.80635375976564</v>
      </c>
      <c r="W111">
        <v>17</v>
      </c>
      <c r="X111" s="2">
        <f>draft_board[[#This Row],[expected_ppg]]-draft_board[[#This Row],[median_ppg]]</f>
        <v>-1.4908958883846513</v>
      </c>
      <c r="Y111">
        <v>0</v>
      </c>
      <c r="AB111"/>
      <c r="AG111"/>
      <c r="AK111"/>
      <c r="AL111"/>
      <c r="AM111"/>
      <c r="AO111"/>
    </row>
    <row r="112" spans="1:41" s="8" customFormat="1" hidden="1" x14ac:dyDescent="0.2">
      <c r="A112" s="4" t="s">
        <v>329</v>
      </c>
      <c r="B112" s="4" t="s">
        <v>330</v>
      </c>
      <c r="C112" s="4" t="s">
        <v>25</v>
      </c>
      <c r="D112" s="4" t="s">
        <v>103</v>
      </c>
      <c r="E112" s="6">
        <v>183.5</v>
      </c>
      <c r="F112" s="4">
        <v>6</v>
      </c>
      <c r="G112" s="5">
        <v>54</v>
      </c>
      <c r="H112" s="5">
        <v>28</v>
      </c>
      <c r="I112" s="5">
        <v>31</v>
      </c>
      <c r="J112" s="5">
        <f>I112-G112</f>
        <v>-23</v>
      </c>
      <c r="K112" s="7">
        <v>7.669126622817096</v>
      </c>
      <c r="L112" s="7">
        <v>8.777340159696692</v>
      </c>
      <c r="M112" s="7">
        <v>10.527512494255514</v>
      </c>
      <c r="N112" s="7">
        <v>10.489356911575589</v>
      </c>
      <c r="O112" s="7">
        <v>130.37515258789062</v>
      </c>
      <c r="P112" s="7">
        <v>149.21478271484375</v>
      </c>
      <c r="Q112" s="7">
        <v>178.96771240234375</v>
      </c>
      <c r="R112" s="7">
        <v>178.31906749678501</v>
      </c>
      <c r="S112" s="5">
        <v>27</v>
      </c>
      <c r="T112" s="5">
        <v>40</v>
      </c>
      <c r="U112" s="5">
        <v>102</v>
      </c>
      <c r="V112" s="4">
        <v>168.92487798667378</v>
      </c>
      <c r="W112" s="4">
        <v>1.5</v>
      </c>
      <c r="X112" s="7">
        <f>draft_board[[#This Row],[expected_ppg]]-draft_board[[#This Row],[median_ppg]]</f>
        <v>1.7120167518788971</v>
      </c>
      <c r="Y112" s="4">
        <v>15.5</v>
      </c>
    </row>
    <row r="113" spans="1:41" hidden="1" x14ac:dyDescent="0.2">
      <c r="A113" t="s">
        <v>204</v>
      </c>
      <c r="B113" t="s">
        <v>205</v>
      </c>
      <c r="C113" t="s">
        <v>32</v>
      </c>
      <c r="D113" t="s">
        <v>85</v>
      </c>
      <c r="E113" s="3">
        <v>79</v>
      </c>
      <c r="F113">
        <v>4</v>
      </c>
      <c r="G113" s="1">
        <v>33</v>
      </c>
      <c r="H113" s="1">
        <v>34</v>
      </c>
      <c r="I113" s="1">
        <v>34</v>
      </c>
      <c r="J113" s="1">
        <f>I113-G113</f>
        <v>1</v>
      </c>
      <c r="K113" s="2">
        <v>7.8849711698644303</v>
      </c>
      <c r="L113" s="2">
        <v>10.453458000631894</v>
      </c>
      <c r="M113" s="2">
        <v>13.686364566578584</v>
      </c>
      <c r="N113" s="2">
        <v>10.316914870527214</v>
      </c>
      <c r="O113" s="2">
        <v>134.04450988769531</v>
      </c>
      <c r="P113" s="2">
        <v>177.70878601074219</v>
      </c>
      <c r="Q113" s="2">
        <v>232.66819763183594</v>
      </c>
      <c r="R113" s="2">
        <v>175.38755279896262</v>
      </c>
      <c r="S113" s="1">
        <v>36</v>
      </c>
      <c r="T113" s="1">
        <v>33</v>
      </c>
      <c r="U113" s="1">
        <v>105</v>
      </c>
      <c r="V113">
        <v>184.30313766657116</v>
      </c>
      <c r="W113">
        <v>1.8</v>
      </c>
      <c r="X113" s="2">
        <f>draft_board[[#This Row],[expected_ppg]]-draft_board[[#This Row],[median_ppg]]</f>
        <v>-0.13654313010468044</v>
      </c>
      <c r="Y113">
        <v>15.2</v>
      </c>
      <c r="AB113"/>
      <c r="AG113"/>
      <c r="AK113"/>
      <c r="AL113"/>
      <c r="AM113"/>
      <c r="AO113"/>
    </row>
    <row r="114" spans="1:41" hidden="1" x14ac:dyDescent="0.2">
      <c r="A114" s="8" t="s">
        <v>127</v>
      </c>
      <c r="B114" s="8" t="s">
        <v>128</v>
      </c>
      <c r="C114" s="8" t="s">
        <v>84</v>
      </c>
      <c r="D114" s="8" t="s">
        <v>129</v>
      </c>
      <c r="E114" s="10">
        <v>39.5</v>
      </c>
      <c r="F114" s="8">
        <v>2</v>
      </c>
      <c r="G114" s="9">
        <v>3</v>
      </c>
      <c r="H114" s="9">
        <v>8</v>
      </c>
      <c r="I114" s="9">
        <v>4</v>
      </c>
      <c r="J114" s="9">
        <f>I114-G114</f>
        <v>1</v>
      </c>
      <c r="K114" s="11">
        <v>8.530825446633731</v>
      </c>
      <c r="L114" s="11">
        <v>11.640494851505055</v>
      </c>
      <c r="M114" s="11">
        <v>13.321730669806986</v>
      </c>
      <c r="N114" s="11">
        <v>10.314391243441914</v>
      </c>
      <c r="O114" s="11">
        <v>145.02403259277344</v>
      </c>
      <c r="P114" s="11">
        <v>197.88841247558594</v>
      </c>
      <c r="Q114" s="11">
        <v>226.46942138671875</v>
      </c>
      <c r="R114" s="11">
        <v>175.34465113851255</v>
      </c>
      <c r="S114" s="9">
        <v>7</v>
      </c>
      <c r="T114" s="9">
        <v>8</v>
      </c>
      <c r="U114" s="9">
        <v>106</v>
      </c>
      <c r="V114" s="8">
        <v>184.61795850382657</v>
      </c>
      <c r="W114" s="8">
        <v>1</v>
      </c>
      <c r="X114" s="11">
        <f>draft_board[[#This Row],[expected_ppg]]-draft_board[[#This Row],[median_ppg]]</f>
        <v>-1.326103608063141</v>
      </c>
      <c r="Y114" s="8">
        <v>16</v>
      </c>
      <c r="AB114"/>
      <c r="AG114"/>
      <c r="AK114"/>
      <c r="AL114"/>
      <c r="AM114"/>
      <c r="AO114"/>
    </row>
    <row r="115" spans="1:41" s="4" customFormat="1" hidden="1" x14ac:dyDescent="0.2">
      <c r="A115" t="s">
        <v>189</v>
      </c>
      <c r="B115" t="s">
        <v>190</v>
      </c>
      <c r="C115" t="s">
        <v>25</v>
      </c>
      <c r="D115" t="s">
        <v>75</v>
      </c>
      <c r="E115" s="3">
        <v>71.75</v>
      </c>
      <c r="F115">
        <v>5</v>
      </c>
      <c r="G115" s="1">
        <v>27</v>
      </c>
      <c r="H115" s="1">
        <v>29</v>
      </c>
      <c r="I115" s="1">
        <v>27</v>
      </c>
      <c r="J115" s="1">
        <f>I115-G115</f>
        <v>0</v>
      </c>
      <c r="K115" s="2">
        <v>8.2409838508157165</v>
      </c>
      <c r="L115" s="2">
        <v>9.312957763671875</v>
      </c>
      <c r="M115" s="2">
        <v>11.053516163545495</v>
      </c>
      <c r="N115" s="2">
        <v>10.299828041446542</v>
      </c>
      <c r="O115" s="2">
        <v>140.09672546386719</v>
      </c>
      <c r="P115" s="2">
        <v>158.32028198242188</v>
      </c>
      <c r="Q115" s="2">
        <v>187.90977478027344</v>
      </c>
      <c r="R115" s="2">
        <v>175.09707670459122</v>
      </c>
      <c r="S115" s="1">
        <v>24</v>
      </c>
      <c r="T115" s="1">
        <v>33</v>
      </c>
      <c r="U115" s="1">
        <v>107</v>
      </c>
      <c r="V115">
        <v>171.9408158791511</v>
      </c>
      <c r="W115">
        <v>2</v>
      </c>
      <c r="X115" s="2">
        <f>draft_board[[#This Row],[expected_ppg]]-draft_board[[#This Row],[median_ppg]]</f>
        <v>0.98687027777466696</v>
      </c>
      <c r="Y115">
        <v>15</v>
      </c>
    </row>
    <row r="116" spans="1:41" hidden="1" x14ac:dyDescent="0.2">
      <c r="A116" t="s">
        <v>193</v>
      </c>
      <c r="B116" t="s">
        <v>194</v>
      </c>
      <c r="C116" t="s">
        <v>32</v>
      </c>
      <c r="D116" t="s">
        <v>182</v>
      </c>
      <c r="E116" s="3">
        <v>74.75</v>
      </c>
      <c r="F116">
        <v>4</v>
      </c>
      <c r="G116" s="1">
        <v>31</v>
      </c>
      <c r="H116" s="1">
        <v>35</v>
      </c>
      <c r="I116" s="1">
        <v>33</v>
      </c>
      <c r="J116" s="1">
        <f>I116-G116</f>
        <v>2</v>
      </c>
      <c r="K116" s="2">
        <v>7.9250560087316178</v>
      </c>
      <c r="L116" s="2">
        <v>10.494883817784926</v>
      </c>
      <c r="M116" s="2">
        <v>13.001029519473805</v>
      </c>
      <c r="N116" s="2">
        <v>10.226671497742633</v>
      </c>
      <c r="O116" s="2">
        <v>134.7259521484375</v>
      </c>
      <c r="P116" s="2">
        <v>178.41302490234375</v>
      </c>
      <c r="Q116" s="2">
        <v>221.01750183105469</v>
      </c>
      <c r="R116" s="2">
        <v>173.85341546162476</v>
      </c>
      <c r="S116" s="1">
        <v>35</v>
      </c>
      <c r="T116" s="1">
        <v>38</v>
      </c>
      <c r="U116" s="1">
        <v>108</v>
      </c>
      <c r="V116">
        <v>180.17714870981627</v>
      </c>
      <c r="W116">
        <v>1</v>
      </c>
      <c r="X116" s="2">
        <f>draft_board[[#This Row],[expected_ppg]]-draft_board[[#This Row],[median_ppg]]</f>
        <v>-0.26821232004229323</v>
      </c>
      <c r="Y116">
        <v>16</v>
      </c>
      <c r="AB116"/>
      <c r="AG116"/>
      <c r="AK116"/>
      <c r="AL116"/>
      <c r="AM116"/>
      <c r="AO116"/>
    </row>
    <row r="117" spans="1:41" hidden="1" x14ac:dyDescent="0.2">
      <c r="A117" s="8" t="s">
        <v>223</v>
      </c>
      <c r="B117" s="8" t="s">
        <v>224</v>
      </c>
      <c r="C117" s="8" t="s">
        <v>32</v>
      </c>
      <c r="D117" s="8" t="s">
        <v>199</v>
      </c>
      <c r="E117" s="10">
        <v>93</v>
      </c>
      <c r="F117" s="8">
        <v>5</v>
      </c>
      <c r="G117" s="9">
        <v>36</v>
      </c>
      <c r="H117" s="9">
        <v>36</v>
      </c>
      <c r="I117" s="9">
        <v>35</v>
      </c>
      <c r="J117" s="9">
        <f>I117-G117</f>
        <v>-1</v>
      </c>
      <c r="K117" s="11">
        <v>8.4219144933363967</v>
      </c>
      <c r="L117" s="11">
        <v>10.288661283605238</v>
      </c>
      <c r="M117" s="11">
        <v>12.07429863424862</v>
      </c>
      <c r="N117" s="11">
        <v>10.161537610833475</v>
      </c>
      <c r="O117" s="11">
        <v>143.17254638671875</v>
      </c>
      <c r="P117" s="11">
        <v>174.90724182128906</v>
      </c>
      <c r="Q117" s="11">
        <v>205.26307678222656</v>
      </c>
      <c r="R117" s="11">
        <v>172.74613938416908</v>
      </c>
      <c r="S117" s="9">
        <v>32</v>
      </c>
      <c r="T117" s="9">
        <v>43</v>
      </c>
      <c r="U117" s="9">
        <v>110</v>
      </c>
      <c r="V117" s="8">
        <v>176.58650200409625</v>
      </c>
      <c r="W117" s="8">
        <v>1</v>
      </c>
      <c r="X117" s="11">
        <f>draft_board[[#This Row],[expected_ppg]]-draft_board[[#This Row],[median_ppg]]</f>
        <v>-0.12712367277176284</v>
      </c>
      <c r="Y117" s="8">
        <v>16</v>
      </c>
      <c r="AB117"/>
      <c r="AG117"/>
      <c r="AK117"/>
      <c r="AL117"/>
      <c r="AM117"/>
      <c r="AO117"/>
    </row>
    <row r="118" spans="1:41" x14ac:dyDescent="0.2">
      <c r="A118" t="s">
        <v>503</v>
      </c>
      <c r="B118" t="s">
        <v>504</v>
      </c>
      <c r="C118" t="s">
        <v>88</v>
      </c>
      <c r="D118" t="s">
        <v>220</v>
      </c>
      <c r="E118" s="3"/>
      <c r="F118">
        <v>5</v>
      </c>
      <c r="H118" s="1">
        <v>46</v>
      </c>
      <c r="I118" s="1">
        <v>50</v>
      </c>
      <c r="J118" s="1">
        <f>I118-G118</f>
        <v>50</v>
      </c>
      <c r="K118" s="2">
        <v>2.4536615259507122</v>
      </c>
      <c r="L118" s="2">
        <v>7.8306857838350181</v>
      </c>
      <c r="M118" s="2">
        <v>12.652137307559743</v>
      </c>
      <c r="N118" s="2">
        <v>7.9618036606732536</v>
      </c>
      <c r="O118" s="2">
        <v>41.712245941162109</v>
      </c>
      <c r="P118" s="2">
        <v>133.12165832519531</v>
      </c>
      <c r="Q118" s="2">
        <v>215.08633422851562</v>
      </c>
      <c r="R118" s="2">
        <v>135.35066223144531</v>
      </c>
      <c r="S118" s="1">
        <v>44</v>
      </c>
      <c r="T118" s="1">
        <v>46</v>
      </c>
      <c r="U118" s="1">
        <v>164</v>
      </c>
      <c r="V118">
        <v>140.54368057250974</v>
      </c>
      <c r="W118">
        <v>17</v>
      </c>
      <c r="X118" s="2">
        <f>draft_board[[#This Row],[expected_ppg]]-draft_board[[#This Row],[median_ppg]]</f>
        <v>0.1311178768382355</v>
      </c>
      <c r="Y118">
        <v>0</v>
      </c>
      <c r="AB118"/>
      <c r="AG118"/>
      <c r="AK118"/>
      <c r="AL118"/>
      <c r="AM118"/>
      <c r="AO118"/>
    </row>
    <row r="119" spans="1:41" hidden="1" x14ac:dyDescent="0.2">
      <c r="A119" t="s">
        <v>263</v>
      </c>
      <c r="B119" t="s">
        <v>264</v>
      </c>
      <c r="C119" t="s">
        <v>32</v>
      </c>
      <c r="D119" t="s">
        <v>45</v>
      </c>
      <c r="E119" s="3">
        <v>118</v>
      </c>
      <c r="F119">
        <v>5</v>
      </c>
      <c r="G119" s="1">
        <v>46</v>
      </c>
      <c r="H119" s="1">
        <v>37</v>
      </c>
      <c r="I119" s="1">
        <v>47</v>
      </c>
      <c r="J119" s="1">
        <f>I119-G119</f>
        <v>1</v>
      </c>
      <c r="K119" s="2">
        <v>6.133772457347197</v>
      </c>
      <c r="L119" s="2">
        <v>8.6123800838694855</v>
      </c>
      <c r="M119" s="2">
        <v>12.186258652630974</v>
      </c>
      <c r="N119" s="2">
        <v>10.151201559961986</v>
      </c>
      <c r="O119" s="2">
        <v>104.27413177490234</v>
      </c>
      <c r="P119" s="2">
        <v>146.41046142578125</v>
      </c>
      <c r="Q119" s="2">
        <v>207.16639709472656</v>
      </c>
      <c r="R119" s="2">
        <v>172.57042651935376</v>
      </c>
      <c r="S119" s="1">
        <v>47</v>
      </c>
      <c r="T119" s="1">
        <v>41</v>
      </c>
      <c r="U119" s="1">
        <v>111</v>
      </c>
      <c r="V119">
        <v>169.28995874307532</v>
      </c>
      <c r="W119">
        <v>2.7</v>
      </c>
      <c r="X119" s="2">
        <f>draft_board[[#This Row],[expected_ppg]]-draft_board[[#This Row],[median_ppg]]</f>
        <v>1.538821476092501</v>
      </c>
      <c r="Y119">
        <v>14.3</v>
      </c>
      <c r="AB119"/>
      <c r="AG119"/>
      <c r="AK119"/>
      <c r="AL119"/>
      <c r="AM119"/>
      <c r="AO119"/>
    </row>
    <row r="120" spans="1:41" hidden="1" x14ac:dyDescent="0.2">
      <c r="A120" s="8" t="s">
        <v>137</v>
      </c>
      <c r="B120" s="8" t="s">
        <v>138</v>
      </c>
      <c r="C120" s="8" t="s">
        <v>32</v>
      </c>
      <c r="D120" s="8" t="s">
        <v>139</v>
      </c>
      <c r="E120" s="10">
        <v>45.25</v>
      </c>
      <c r="F120" s="8">
        <v>4</v>
      </c>
      <c r="G120" s="9">
        <v>21</v>
      </c>
      <c r="H120" s="9">
        <v>38</v>
      </c>
      <c r="I120" s="9">
        <v>31</v>
      </c>
      <c r="J120" s="9">
        <f>I120-G120</f>
        <v>10</v>
      </c>
      <c r="K120" s="11">
        <v>8.6339820413028487</v>
      </c>
      <c r="L120" s="11">
        <v>10.680109360638786</v>
      </c>
      <c r="M120" s="11">
        <v>14.255530862247243</v>
      </c>
      <c r="N120" s="11">
        <v>10.122729037226792</v>
      </c>
      <c r="O120" s="11">
        <v>146.77769470214844</v>
      </c>
      <c r="P120" s="11">
        <v>181.56185913085938</v>
      </c>
      <c r="Q120" s="11">
        <v>242.34402465820312</v>
      </c>
      <c r="R120" s="11">
        <v>172.08639363285548</v>
      </c>
      <c r="S120" s="9">
        <v>30</v>
      </c>
      <c r="T120" s="9">
        <v>28</v>
      </c>
      <c r="U120" s="9">
        <v>112</v>
      </c>
      <c r="V120" s="8">
        <v>188.10194315431835</v>
      </c>
      <c r="W120" s="8">
        <v>1.5</v>
      </c>
      <c r="X120" s="11">
        <f>draft_board[[#This Row],[expected_ppg]]-draft_board[[#This Row],[median_ppg]]</f>
        <v>-0.55738032341199428</v>
      </c>
      <c r="Y120" s="8">
        <v>15.5</v>
      </c>
      <c r="AB120"/>
      <c r="AG120"/>
      <c r="AK120"/>
      <c r="AL120"/>
      <c r="AM120"/>
      <c r="AO120"/>
    </row>
    <row r="121" spans="1:41" hidden="1" x14ac:dyDescent="0.2">
      <c r="A121" s="8" t="s">
        <v>183</v>
      </c>
      <c r="B121" s="8" t="s">
        <v>184</v>
      </c>
      <c r="C121" s="8" t="s">
        <v>84</v>
      </c>
      <c r="D121" s="8" t="s">
        <v>26</v>
      </c>
      <c r="E121" s="10">
        <v>68.25</v>
      </c>
      <c r="F121" s="8">
        <v>3</v>
      </c>
      <c r="G121" s="9">
        <v>5</v>
      </c>
      <c r="H121" s="9">
        <v>9</v>
      </c>
      <c r="I121" s="9">
        <v>18</v>
      </c>
      <c r="J121" s="9">
        <f>I121-G121</f>
        <v>13</v>
      </c>
      <c r="K121" s="11">
        <v>7.4980046889361214</v>
      </c>
      <c r="L121" s="11">
        <v>8.0079094381893388</v>
      </c>
      <c r="M121" s="11">
        <v>12.537967457490808</v>
      </c>
      <c r="N121" s="11">
        <v>9.8865664641589568</v>
      </c>
      <c r="O121" s="11">
        <v>127.46607971191406</v>
      </c>
      <c r="P121" s="11">
        <v>136.13446044921875</v>
      </c>
      <c r="Q121" s="11">
        <v>213.14544677734375</v>
      </c>
      <c r="R121" s="11">
        <v>168.07162989070227</v>
      </c>
      <c r="S121" s="9">
        <v>11</v>
      </c>
      <c r="T121" s="9">
        <v>9</v>
      </c>
      <c r="U121" s="9">
        <v>113</v>
      </c>
      <c r="V121" s="8">
        <v>173.47266492093709</v>
      </c>
      <c r="W121" s="8">
        <v>2.4</v>
      </c>
      <c r="X121" s="11">
        <f>draft_board[[#This Row],[expected_ppg]]-draft_board[[#This Row],[median_ppg]]</f>
        <v>1.878657025969618</v>
      </c>
      <c r="Y121" s="8">
        <v>14.6</v>
      </c>
      <c r="AB121"/>
      <c r="AG121"/>
      <c r="AK121"/>
      <c r="AL121"/>
      <c r="AM121"/>
      <c r="AO121"/>
    </row>
    <row r="122" spans="1:41" hidden="1" x14ac:dyDescent="0.2">
      <c r="A122" t="s">
        <v>241</v>
      </c>
      <c r="B122" t="s">
        <v>242</v>
      </c>
      <c r="C122" t="s">
        <v>84</v>
      </c>
      <c r="D122" t="s">
        <v>72</v>
      </c>
      <c r="E122" s="3">
        <v>104</v>
      </c>
      <c r="F122">
        <v>3</v>
      </c>
      <c r="G122" s="1">
        <v>10</v>
      </c>
      <c r="H122" s="1">
        <v>10</v>
      </c>
      <c r="I122" s="1">
        <v>9</v>
      </c>
      <c r="J122" s="1">
        <f>I122-G122</f>
        <v>-1</v>
      </c>
      <c r="K122" s="2">
        <v>8.6848045797909013</v>
      </c>
      <c r="L122" s="2">
        <v>10.114726347081801</v>
      </c>
      <c r="M122" s="2">
        <v>11.34901787252987</v>
      </c>
      <c r="N122" s="2">
        <v>9.8500266932137386</v>
      </c>
      <c r="O122" s="2">
        <v>147.64167785644531</v>
      </c>
      <c r="P122" s="2">
        <v>171.95034790039062</v>
      </c>
      <c r="Q122" s="2">
        <v>192.93330383300781</v>
      </c>
      <c r="R122" s="2">
        <v>167.45045378463357</v>
      </c>
      <c r="S122" s="1">
        <v>6</v>
      </c>
      <c r="T122" s="1">
        <v>12</v>
      </c>
      <c r="U122" s="1">
        <v>114</v>
      </c>
      <c r="V122">
        <v>171.13355361350818</v>
      </c>
      <c r="W122">
        <v>2.4</v>
      </c>
      <c r="X122" s="2">
        <f>draft_board[[#This Row],[expected_ppg]]-draft_board[[#This Row],[median_ppg]]</f>
        <v>-0.26469965386806216</v>
      </c>
      <c r="Y122">
        <v>14.6</v>
      </c>
      <c r="AB122"/>
      <c r="AG122"/>
      <c r="AK122"/>
      <c r="AL122"/>
      <c r="AM122"/>
      <c r="AO122"/>
    </row>
    <row r="123" spans="1:41" hidden="1" x14ac:dyDescent="0.2">
      <c r="A123" s="4" t="s">
        <v>339</v>
      </c>
      <c r="B123" s="4" t="s">
        <v>340</v>
      </c>
      <c r="C123" s="4" t="s">
        <v>32</v>
      </c>
      <c r="D123" s="4" t="s">
        <v>65</v>
      </c>
      <c r="E123" s="6">
        <v>208</v>
      </c>
      <c r="F123" s="4">
        <v>5</v>
      </c>
      <c r="G123" s="5">
        <v>61</v>
      </c>
      <c r="H123" s="5">
        <v>39</v>
      </c>
      <c r="I123" s="5">
        <v>49</v>
      </c>
      <c r="J123" s="5">
        <f>I123-G123</f>
        <v>-12</v>
      </c>
      <c r="K123" s="7">
        <v>6.6025974049287681</v>
      </c>
      <c r="L123" s="7">
        <v>8.1079325956456803</v>
      </c>
      <c r="M123" s="7">
        <v>11.927068373736214</v>
      </c>
      <c r="N123" s="7">
        <v>9.8396520604284667</v>
      </c>
      <c r="O123" s="7">
        <v>112.24415588378906</v>
      </c>
      <c r="P123" s="7">
        <v>137.83485412597656</v>
      </c>
      <c r="Q123" s="7">
        <v>202.76016235351562</v>
      </c>
      <c r="R123" s="7">
        <v>167.27408502728395</v>
      </c>
      <c r="S123" s="5">
        <v>45</v>
      </c>
      <c r="T123" s="5">
        <v>44</v>
      </c>
      <c r="U123" s="5">
        <v>115</v>
      </c>
      <c r="V123" s="4">
        <v>166.91392239645447</v>
      </c>
      <c r="W123" s="4">
        <v>1</v>
      </c>
      <c r="X123" s="7">
        <f>draft_board[[#This Row],[expected_ppg]]-draft_board[[#This Row],[median_ppg]]</f>
        <v>1.7317194647827865</v>
      </c>
      <c r="Y123" s="4">
        <v>16</v>
      </c>
      <c r="AB123"/>
      <c r="AG123"/>
      <c r="AK123"/>
      <c r="AL123"/>
      <c r="AM123"/>
      <c r="AO123"/>
    </row>
    <row r="124" spans="1:41" hidden="1" x14ac:dyDescent="0.2">
      <c r="A124" s="8" t="s">
        <v>178</v>
      </c>
      <c r="B124" s="8" t="s">
        <v>179</v>
      </c>
      <c r="C124" s="8" t="s">
        <v>32</v>
      </c>
      <c r="D124" s="8" t="s">
        <v>119</v>
      </c>
      <c r="E124" s="10">
        <v>66.5</v>
      </c>
      <c r="F124" s="8">
        <v>5</v>
      </c>
      <c r="G124" s="9">
        <v>29</v>
      </c>
      <c r="H124" s="9">
        <v>40</v>
      </c>
      <c r="I124" s="9">
        <v>42</v>
      </c>
      <c r="J124" s="9">
        <f>I124-G124</f>
        <v>13</v>
      </c>
      <c r="K124" s="11">
        <v>7.3751786175896141</v>
      </c>
      <c r="L124" s="11">
        <v>9.2992104923023895</v>
      </c>
      <c r="M124" s="11">
        <v>13.342066147748161</v>
      </c>
      <c r="N124" s="11">
        <v>9.8373999361397271</v>
      </c>
      <c r="O124" s="11">
        <v>125.37803649902344</v>
      </c>
      <c r="P124" s="11">
        <v>158.08657836914062</v>
      </c>
      <c r="Q124" s="11">
        <v>226.81512451171875</v>
      </c>
      <c r="R124" s="11">
        <v>167.23579891437535</v>
      </c>
      <c r="S124" s="9">
        <v>38</v>
      </c>
      <c r="T124" s="9">
        <v>36</v>
      </c>
      <c r="U124" s="9">
        <v>116</v>
      </c>
      <c r="V124" s="8">
        <v>176.73804411050799</v>
      </c>
      <c r="W124" s="8">
        <v>0.8</v>
      </c>
      <c r="X124" s="11">
        <f>draft_board[[#This Row],[expected_ppg]]-draft_board[[#This Row],[median_ppg]]</f>
        <v>0.53818944383733758</v>
      </c>
      <c r="Y124" s="8">
        <v>16.2</v>
      </c>
      <c r="AB124"/>
      <c r="AG124"/>
      <c r="AK124"/>
      <c r="AL124"/>
      <c r="AM124"/>
      <c r="AO124"/>
    </row>
    <row r="125" spans="1:41" hidden="1" x14ac:dyDescent="0.2">
      <c r="A125" s="4" t="s">
        <v>343</v>
      </c>
      <c r="B125" s="4" t="s">
        <v>344</v>
      </c>
      <c r="C125" s="4" t="s">
        <v>32</v>
      </c>
      <c r="D125" s="4" t="s">
        <v>159</v>
      </c>
      <c r="E125" s="6">
        <v>211.5</v>
      </c>
      <c r="F125" s="4">
        <v>5</v>
      </c>
      <c r="G125" s="5">
        <v>62</v>
      </c>
      <c r="H125" s="5">
        <v>41</v>
      </c>
      <c r="I125" s="5">
        <v>45</v>
      </c>
      <c r="J125" s="5">
        <f>I125-G125</f>
        <v>-17</v>
      </c>
      <c r="K125" s="7">
        <v>6.5621885411879592</v>
      </c>
      <c r="L125" s="7">
        <v>8.666805491727942</v>
      </c>
      <c r="M125" s="7">
        <v>12.917626773609834</v>
      </c>
      <c r="N125" s="7">
        <v>9.7919860348413152</v>
      </c>
      <c r="O125" s="7">
        <v>111.55720520019531</v>
      </c>
      <c r="P125" s="7">
        <v>147.335693359375</v>
      </c>
      <c r="Q125" s="7">
        <v>219.59965515136719</v>
      </c>
      <c r="R125" s="7">
        <v>166.46376259230237</v>
      </c>
      <c r="S125" s="5">
        <v>46</v>
      </c>
      <c r="T125" s="5">
        <v>39</v>
      </c>
      <c r="U125" s="5">
        <v>117</v>
      </c>
      <c r="V125" s="4">
        <v>171.42321888160038</v>
      </c>
      <c r="W125" s="4">
        <v>0.7</v>
      </c>
      <c r="X125" s="7">
        <f>draft_board[[#This Row],[expected_ppg]]-draft_board[[#This Row],[median_ppg]]</f>
        <v>1.1251805431133732</v>
      </c>
      <c r="Y125" s="4">
        <v>16.3</v>
      </c>
      <c r="AB125"/>
      <c r="AG125"/>
      <c r="AK125"/>
      <c r="AL125"/>
      <c r="AM125"/>
      <c r="AO125"/>
    </row>
    <row r="126" spans="1:41" hidden="1" x14ac:dyDescent="0.2">
      <c r="A126" s="4" t="s">
        <v>293</v>
      </c>
      <c r="B126" s="4" t="s">
        <v>294</v>
      </c>
      <c r="C126" s="4" t="s">
        <v>25</v>
      </c>
      <c r="D126" s="4" t="s">
        <v>91</v>
      </c>
      <c r="E126" s="6">
        <v>145.25</v>
      </c>
      <c r="F126" s="4">
        <v>6</v>
      </c>
      <c r="G126" s="5">
        <v>42</v>
      </c>
      <c r="H126" s="5">
        <v>30</v>
      </c>
      <c r="I126" s="5">
        <v>33</v>
      </c>
      <c r="J126" s="5">
        <f>I126-G126</f>
        <v>-9</v>
      </c>
      <c r="K126" s="7">
        <v>6.4481721765854783</v>
      </c>
      <c r="L126" s="7">
        <v>8.0929403866038605</v>
      </c>
      <c r="M126" s="7">
        <v>10.842461978687959</v>
      </c>
      <c r="N126" s="7">
        <v>9.7128125635219842</v>
      </c>
      <c r="O126" s="7">
        <v>109.61892700195312</v>
      </c>
      <c r="P126" s="7">
        <v>137.57998657226562</v>
      </c>
      <c r="Q126" s="7">
        <v>184.32185363769531</v>
      </c>
      <c r="R126" s="7">
        <v>165.11781357987374</v>
      </c>
      <c r="S126" s="5">
        <v>31</v>
      </c>
      <c r="T126" s="5">
        <v>34</v>
      </c>
      <c r="U126" s="5">
        <v>119</v>
      </c>
      <c r="V126" s="4">
        <v>159.77924828163611</v>
      </c>
      <c r="W126" s="4">
        <v>1</v>
      </c>
      <c r="X126" s="7">
        <f>draft_board[[#This Row],[expected_ppg]]-draft_board[[#This Row],[median_ppg]]</f>
        <v>1.6198721769181237</v>
      </c>
      <c r="Y126" s="4">
        <v>16</v>
      </c>
      <c r="AB126"/>
      <c r="AG126"/>
      <c r="AK126"/>
      <c r="AL126"/>
      <c r="AM126"/>
      <c r="AO126"/>
    </row>
    <row r="127" spans="1:41" x14ac:dyDescent="0.2">
      <c r="A127" t="s">
        <v>507</v>
      </c>
      <c r="B127" t="s">
        <v>508</v>
      </c>
      <c r="C127" t="s">
        <v>88</v>
      </c>
      <c r="D127" t="s">
        <v>100</v>
      </c>
      <c r="E127" s="3"/>
      <c r="F127">
        <v>5</v>
      </c>
      <c r="H127" s="1">
        <v>49</v>
      </c>
      <c r="I127" s="1">
        <v>53</v>
      </c>
      <c r="J127" s="1">
        <f>I127-G127</f>
        <v>53</v>
      </c>
      <c r="K127" s="2">
        <v>2.1442301133099724</v>
      </c>
      <c r="L127" s="2">
        <v>7.2366467644186585</v>
      </c>
      <c r="M127" s="2">
        <v>11.630297492532168</v>
      </c>
      <c r="N127" s="2">
        <v>7.6430152444278496</v>
      </c>
      <c r="O127" s="2">
        <v>36.451911926269531</v>
      </c>
      <c r="P127" s="2">
        <v>123.02299499511719</v>
      </c>
      <c r="Q127" s="2">
        <v>197.71505737304688</v>
      </c>
      <c r="R127" s="2">
        <v>129.93125915527344</v>
      </c>
      <c r="S127" s="1">
        <v>49</v>
      </c>
      <c r="T127" s="1">
        <v>52</v>
      </c>
      <c r="U127" s="1">
        <v>174</v>
      </c>
      <c r="V127">
        <v>131.57052917480468</v>
      </c>
      <c r="W127">
        <v>17</v>
      </c>
      <c r="X127" s="2">
        <f>draft_board[[#This Row],[expected_ppg]]-draft_board[[#This Row],[median_ppg]]</f>
        <v>0.40636848000919112</v>
      </c>
      <c r="Y127">
        <v>0</v>
      </c>
      <c r="AB127"/>
      <c r="AG127"/>
      <c r="AK127"/>
      <c r="AL127"/>
      <c r="AM127"/>
      <c r="AO127"/>
    </row>
    <row r="128" spans="1:41" s="4" customFormat="1" hidden="1" x14ac:dyDescent="0.2">
      <c r="A128" t="s">
        <v>227</v>
      </c>
      <c r="B128" t="s">
        <v>228</v>
      </c>
      <c r="C128" t="s">
        <v>25</v>
      </c>
      <c r="D128" t="s">
        <v>139</v>
      </c>
      <c r="E128" s="3">
        <v>99.75</v>
      </c>
      <c r="F128">
        <v>6</v>
      </c>
      <c r="G128" s="1">
        <v>32</v>
      </c>
      <c r="H128" s="1">
        <v>31</v>
      </c>
      <c r="I128" s="1">
        <v>29</v>
      </c>
      <c r="J128" s="1">
        <f>I128-G128</f>
        <v>-3</v>
      </c>
      <c r="K128" s="2">
        <v>5.966142093434053</v>
      </c>
      <c r="L128" s="2">
        <v>9.165681726792279</v>
      </c>
      <c r="M128" s="2">
        <v>10.509074491613051</v>
      </c>
      <c r="N128" s="2">
        <v>9.6906342180248082</v>
      </c>
      <c r="O128" s="2">
        <v>101.42441558837891</v>
      </c>
      <c r="P128" s="2">
        <v>155.81658935546875</v>
      </c>
      <c r="Q128" s="2">
        <v>178.65426635742188</v>
      </c>
      <c r="R128" s="2">
        <v>164.74078170642173</v>
      </c>
      <c r="S128" s="1">
        <v>33</v>
      </c>
      <c r="T128" s="1">
        <v>41</v>
      </c>
      <c r="U128" s="1">
        <v>120</v>
      </c>
      <c r="V128">
        <v>156.25155387811319</v>
      </c>
      <c r="W128">
        <v>2.2000000000000002</v>
      </c>
      <c r="X128" s="2">
        <f>draft_board[[#This Row],[expected_ppg]]-draft_board[[#This Row],[median_ppg]]</f>
        <v>0.52495249123252918</v>
      </c>
      <c r="Y128">
        <v>14.8</v>
      </c>
    </row>
    <row r="129" spans="1:41" x14ac:dyDescent="0.2">
      <c r="A129" t="s">
        <v>509</v>
      </c>
      <c r="B129" t="s">
        <v>510</v>
      </c>
      <c r="C129" t="s">
        <v>88</v>
      </c>
      <c r="D129" t="s">
        <v>39</v>
      </c>
      <c r="E129" s="3"/>
      <c r="F129">
        <v>5</v>
      </c>
      <c r="H129" s="1">
        <v>45</v>
      </c>
      <c r="I129" s="1">
        <v>52</v>
      </c>
      <c r="J129" s="1">
        <f>I129-G129</f>
        <v>52</v>
      </c>
      <c r="K129" s="2">
        <v>0.98264997145708866</v>
      </c>
      <c r="L129" s="2">
        <v>7.4292037066291359</v>
      </c>
      <c r="M129" s="2">
        <v>11.754972570082721</v>
      </c>
      <c r="N129" s="2">
        <v>8.0045255773207717</v>
      </c>
      <c r="O129" s="2">
        <v>16.705049514770508</v>
      </c>
      <c r="P129" s="2">
        <v>126.29646301269531</v>
      </c>
      <c r="Q129" s="2">
        <v>199.83453369140625</v>
      </c>
      <c r="R129" s="2">
        <v>136.07693481445312</v>
      </c>
      <c r="S129" s="1">
        <v>60</v>
      </c>
      <c r="T129" s="1">
        <v>51</v>
      </c>
      <c r="U129" s="1">
        <v>163</v>
      </c>
      <c r="V129">
        <v>131.32983741760253</v>
      </c>
      <c r="W129">
        <v>17</v>
      </c>
      <c r="X129" s="2">
        <f>draft_board[[#This Row],[expected_ppg]]-draft_board[[#This Row],[median_ppg]]</f>
        <v>0.57532187069163587</v>
      </c>
      <c r="Y129">
        <v>0</v>
      </c>
      <c r="AB129"/>
      <c r="AG129"/>
      <c r="AK129"/>
      <c r="AL129"/>
      <c r="AM129"/>
      <c r="AO129"/>
    </row>
    <row r="130" spans="1:41" hidden="1" x14ac:dyDescent="0.2">
      <c r="A130" t="s">
        <v>281</v>
      </c>
      <c r="B130" t="s">
        <v>282</v>
      </c>
      <c r="C130" t="s">
        <v>32</v>
      </c>
      <c r="D130" t="s">
        <v>72</v>
      </c>
      <c r="E130" s="3">
        <v>130.75</v>
      </c>
      <c r="F130">
        <v>5</v>
      </c>
      <c r="G130" s="1">
        <v>49</v>
      </c>
      <c r="H130" s="1">
        <v>42</v>
      </c>
      <c r="I130" s="1">
        <v>51</v>
      </c>
      <c r="J130" s="1">
        <f>I130-G130</f>
        <v>2</v>
      </c>
      <c r="K130" s="2">
        <v>5.6930124619427849</v>
      </c>
      <c r="L130" s="2">
        <v>7.7970446418313415</v>
      </c>
      <c r="M130" s="2">
        <v>12.851828182444853</v>
      </c>
      <c r="N130" s="2">
        <v>9.6441420144768859</v>
      </c>
      <c r="O130" s="2">
        <v>96.781211853027344</v>
      </c>
      <c r="P130" s="2">
        <v>132.54975891113281</v>
      </c>
      <c r="Q130" s="2">
        <v>218.4810791015625</v>
      </c>
      <c r="R130" s="2">
        <v>163.95041424610707</v>
      </c>
      <c r="S130" s="1">
        <v>48</v>
      </c>
      <c r="T130" s="1">
        <v>40</v>
      </c>
      <c r="U130" s="1">
        <v>121</v>
      </c>
      <c r="V130">
        <v>166.87577322412773</v>
      </c>
      <c r="W130">
        <v>1.9</v>
      </c>
      <c r="X130" s="2">
        <f>draft_board[[#This Row],[expected_ppg]]-draft_board[[#This Row],[median_ppg]]</f>
        <v>1.8470973726455444</v>
      </c>
      <c r="Y130">
        <v>15.1</v>
      </c>
      <c r="AB130"/>
      <c r="AG130"/>
      <c r="AK130"/>
      <c r="AL130"/>
      <c r="AM130"/>
      <c r="AO130"/>
    </row>
    <row r="131" spans="1:41" hidden="1" x14ac:dyDescent="0.2">
      <c r="A131" s="4" t="s">
        <v>319</v>
      </c>
      <c r="B131" s="4" t="s">
        <v>320</v>
      </c>
      <c r="C131" s="4" t="s">
        <v>84</v>
      </c>
      <c r="D131" s="4" t="s">
        <v>75</v>
      </c>
      <c r="E131" s="6">
        <v>178</v>
      </c>
      <c r="F131" s="4">
        <v>3</v>
      </c>
      <c r="G131" s="5">
        <v>16</v>
      </c>
      <c r="H131" s="5">
        <v>11</v>
      </c>
      <c r="I131" s="5">
        <v>8</v>
      </c>
      <c r="J131" s="5">
        <f>I131-G131</f>
        <v>-8</v>
      </c>
      <c r="K131" s="7">
        <v>8.7071605009191178</v>
      </c>
      <c r="L131" s="7">
        <v>10.437833898207721</v>
      </c>
      <c r="M131" s="7">
        <v>10.890805412741269</v>
      </c>
      <c r="N131" s="7">
        <v>9.638307522438625</v>
      </c>
      <c r="O131" s="7">
        <v>148.021728515625</v>
      </c>
      <c r="P131" s="7">
        <v>177.44317626953125</v>
      </c>
      <c r="Q131" s="7">
        <v>185.14369201660156</v>
      </c>
      <c r="R131" s="7">
        <v>163.85122788145662</v>
      </c>
      <c r="S131" s="5">
        <v>5</v>
      </c>
      <c r="T131" s="5">
        <v>15</v>
      </c>
      <c r="U131" s="5">
        <v>122</v>
      </c>
      <c r="V131" s="4">
        <v>167.07306724883378</v>
      </c>
      <c r="W131" s="4">
        <v>2.8</v>
      </c>
      <c r="X131" s="7">
        <f>draft_board[[#This Row],[expected_ppg]]-draft_board[[#This Row],[median_ppg]]</f>
        <v>-0.79952637576909602</v>
      </c>
      <c r="Y131" s="4">
        <v>14.2</v>
      </c>
      <c r="AB131"/>
      <c r="AG131"/>
      <c r="AK131"/>
      <c r="AL131"/>
      <c r="AM131"/>
      <c r="AO131"/>
    </row>
    <row r="132" spans="1:41" x14ac:dyDescent="0.2">
      <c r="A132" t="s">
        <v>513</v>
      </c>
      <c r="B132" t="s">
        <v>514</v>
      </c>
      <c r="C132" t="s">
        <v>88</v>
      </c>
      <c r="D132" t="s">
        <v>62</v>
      </c>
      <c r="E132" s="3"/>
      <c r="F132">
        <v>5</v>
      </c>
      <c r="H132" s="1">
        <v>50</v>
      </c>
      <c r="I132" s="1">
        <v>54</v>
      </c>
      <c r="J132" s="1">
        <f>I132-G132</f>
        <v>54</v>
      </c>
      <c r="K132" s="2">
        <v>1.8545072218951058</v>
      </c>
      <c r="L132" s="2">
        <v>7.0265731811523438</v>
      </c>
      <c r="M132" s="2">
        <v>11.852048088522519</v>
      </c>
      <c r="N132" s="2">
        <v>7.4217897302964158</v>
      </c>
      <c r="O132" s="2">
        <v>31.526622772216797</v>
      </c>
      <c r="P132" s="2">
        <v>119.45174407958984</v>
      </c>
      <c r="Q132" s="2">
        <v>201.48481750488281</v>
      </c>
      <c r="R132" s="2">
        <v>126.17042541503906</v>
      </c>
      <c r="S132" s="1">
        <v>51</v>
      </c>
      <c r="T132" s="1">
        <v>49</v>
      </c>
      <c r="U132" s="1">
        <v>177</v>
      </c>
      <c r="V132">
        <v>129.83598251342772</v>
      </c>
      <c r="W132">
        <v>17</v>
      </c>
      <c r="X132" s="2">
        <f>draft_board[[#This Row],[expected_ppg]]-draft_board[[#This Row],[median_ppg]]</f>
        <v>0.395216549144072</v>
      </c>
      <c r="Y132">
        <v>0</v>
      </c>
      <c r="AB132"/>
      <c r="AG132"/>
      <c r="AK132"/>
      <c r="AL132"/>
      <c r="AM132"/>
      <c r="AO132"/>
    </row>
    <row r="133" spans="1:41" hidden="1" x14ac:dyDescent="0.2">
      <c r="A133" t="s">
        <v>287</v>
      </c>
      <c r="B133" t="s">
        <v>288</v>
      </c>
      <c r="C133" t="s">
        <v>32</v>
      </c>
      <c r="D133" t="s">
        <v>75</v>
      </c>
      <c r="E133" s="3">
        <v>137.25</v>
      </c>
      <c r="F133">
        <v>5</v>
      </c>
      <c r="G133" s="1">
        <v>51</v>
      </c>
      <c r="H133" s="1">
        <v>43</v>
      </c>
      <c r="I133" s="1">
        <v>41</v>
      </c>
      <c r="J133" s="1">
        <f>I133-G133</f>
        <v>-10</v>
      </c>
      <c r="K133" s="2">
        <v>7.6750847311580879</v>
      </c>
      <c r="L133" s="2">
        <v>9.5369406307444855</v>
      </c>
      <c r="M133" s="2">
        <v>10.807276108685661</v>
      </c>
      <c r="N133" s="2">
        <v>9.5844167571137469</v>
      </c>
      <c r="O133" s="2">
        <v>130.4764404296875</v>
      </c>
      <c r="P133" s="2">
        <v>162.12799072265625</v>
      </c>
      <c r="Q133" s="2">
        <v>183.72369384765625</v>
      </c>
      <c r="R133" s="2">
        <v>162.93508487093371</v>
      </c>
      <c r="S133" s="1">
        <v>37</v>
      </c>
      <c r="T133" s="1">
        <v>49</v>
      </c>
      <c r="U133" s="1">
        <v>123</v>
      </c>
      <c r="V133">
        <v>162.67993867570124</v>
      </c>
      <c r="W133">
        <v>2</v>
      </c>
      <c r="X133" s="2">
        <f>draft_board[[#This Row],[expected_ppg]]-draft_board[[#This Row],[median_ppg]]</f>
        <v>4.7476126369261351E-2</v>
      </c>
      <c r="Y133">
        <v>15</v>
      </c>
      <c r="AB133"/>
      <c r="AG133"/>
      <c r="AK133"/>
      <c r="AL133"/>
      <c r="AM133"/>
      <c r="AO133"/>
    </row>
    <row r="134" spans="1:41" x14ac:dyDescent="0.2">
      <c r="A134" t="s">
        <v>515</v>
      </c>
      <c r="B134" t="s">
        <v>516</v>
      </c>
      <c r="C134" t="s">
        <v>88</v>
      </c>
      <c r="D134" t="s">
        <v>81</v>
      </c>
      <c r="E134" s="3"/>
      <c r="F134">
        <v>5</v>
      </c>
      <c r="H134" s="1">
        <v>52</v>
      </c>
      <c r="I134" s="1">
        <v>49</v>
      </c>
      <c r="J134" s="1">
        <f>I134-G134</f>
        <v>49</v>
      </c>
      <c r="K134" s="2">
        <v>2.6992714825798485</v>
      </c>
      <c r="L134" s="2">
        <v>7.9188735064338234</v>
      </c>
      <c r="M134" s="2">
        <v>11.587897805606618</v>
      </c>
      <c r="N134" s="2">
        <v>7.2224475636201744</v>
      </c>
      <c r="O134" s="2">
        <v>45.887615203857422</v>
      </c>
      <c r="P134" s="2">
        <v>134.620849609375</v>
      </c>
      <c r="Q134" s="2">
        <v>196.9942626953125</v>
      </c>
      <c r="R134" s="2">
        <v>122.78160858154297</v>
      </c>
      <c r="S134" s="1">
        <v>42</v>
      </c>
      <c r="T134" s="1">
        <v>53</v>
      </c>
      <c r="U134" s="1">
        <v>183</v>
      </c>
      <c r="V134">
        <v>129.66660614013671</v>
      </c>
      <c r="W134">
        <v>17</v>
      </c>
      <c r="X134" s="2">
        <f>draft_board[[#This Row],[expected_ppg]]-draft_board[[#This Row],[median_ppg]]</f>
        <v>-0.696425942813649</v>
      </c>
      <c r="Y134">
        <v>0</v>
      </c>
      <c r="AB134"/>
      <c r="AG134"/>
      <c r="AK134"/>
      <c r="AL134"/>
      <c r="AM134"/>
      <c r="AO134"/>
    </row>
    <row r="135" spans="1:41" hidden="1" x14ac:dyDescent="0.2">
      <c r="A135" t="s">
        <v>164</v>
      </c>
      <c r="B135" t="s">
        <v>165</v>
      </c>
      <c r="C135" t="s">
        <v>32</v>
      </c>
      <c r="D135" t="s">
        <v>53</v>
      </c>
      <c r="E135" s="3">
        <v>57.25</v>
      </c>
      <c r="F135">
        <v>5</v>
      </c>
      <c r="G135" s="1">
        <v>25</v>
      </c>
      <c r="H135" s="1">
        <v>44</v>
      </c>
      <c r="I135" s="1">
        <v>43</v>
      </c>
      <c r="J135" s="1">
        <f>I135-G135</f>
        <v>18</v>
      </c>
      <c r="K135" s="2">
        <v>6.9479132259593293</v>
      </c>
      <c r="L135" s="2">
        <v>8.974729650160846</v>
      </c>
      <c r="M135" s="2">
        <v>10.454861809225644</v>
      </c>
      <c r="N135" s="2">
        <v>9.5318661432166767</v>
      </c>
      <c r="O135" s="2">
        <v>118.11452484130859</v>
      </c>
      <c r="P135" s="2">
        <v>152.57040405273438</v>
      </c>
      <c r="Q135" s="2">
        <v>177.73265075683594</v>
      </c>
      <c r="R135" s="2">
        <v>162.04172443468352</v>
      </c>
      <c r="S135" s="1">
        <v>42</v>
      </c>
      <c r="T135" s="1">
        <v>54</v>
      </c>
      <c r="U135" s="1">
        <v>124</v>
      </c>
      <c r="V135">
        <v>157.96356241265426</v>
      </c>
      <c r="W135">
        <v>1</v>
      </c>
      <c r="X135" s="2">
        <f>draft_board[[#This Row],[expected_ppg]]-draft_board[[#This Row],[median_ppg]]</f>
        <v>0.55713649305583068</v>
      </c>
      <c r="Y135">
        <v>16</v>
      </c>
      <c r="AB135"/>
      <c r="AG135"/>
      <c r="AK135"/>
      <c r="AL135"/>
      <c r="AM135"/>
      <c r="AO135"/>
    </row>
    <row r="136" spans="1:41" hidden="1" x14ac:dyDescent="0.2">
      <c r="A136" t="s">
        <v>361</v>
      </c>
      <c r="B136" t="s">
        <v>362</v>
      </c>
      <c r="C136" t="s">
        <v>32</v>
      </c>
      <c r="D136" t="s">
        <v>56</v>
      </c>
      <c r="E136" s="3">
        <v>233.75</v>
      </c>
      <c r="F136">
        <v>5</v>
      </c>
      <c r="G136" s="1">
        <v>67</v>
      </c>
      <c r="H136" s="1">
        <v>45</v>
      </c>
      <c r="I136" s="1">
        <v>38</v>
      </c>
      <c r="J136" s="1">
        <f>I136-G136</f>
        <v>-29</v>
      </c>
      <c r="K136" s="2">
        <v>6.9843251845415901</v>
      </c>
      <c r="L136" s="2">
        <v>9.9469963522518388</v>
      </c>
      <c r="M136" s="2">
        <v>10.981991038602942</v>
      </c>
      <c r="N136" s="2">
        <v>9.4608813995962588</v>
      </c>
      <c r="O136" s="2">
        <v>118.73352813720703</v>
      </c>
      <c r="P136" s="2">
        <v>169.09893798828125</v>
      </c>
      <c r="Q136" s="2">
        <v>186.69384765625</v>
      </c>
      <c r="R136" s="2">
        <v>160.83498379313639</v>
      </c>
      <c r="S136" s="1">
        <v>41</v>
      </c>
      <c r="T136" s="1">
        <v>48</v>
      </c>
      <c r="U136" s="1">
        <v>125</v>
      </c>
      <c r="V136">
        <v>160.17235182088459</v>
      </c>
      <c r="W136">
        <v>0.7</v>
      </c>
      <c r="X136" s="2">
        <f>draft_board[[#This Row],[expected_ppg]]-draft_board[[#This Row],[median_ppg]]</f>
        <v>-0.48611495265557991</v>
      </c>
      <c r="Y136">
        <v>16.3</v>
      </c>
      <c r="AB136"/>
      <c r="AG136"/>
      <c r="AK136"/>
      <c r="AL136"/>
      <c r="AM136"/>
      <c r="AO136"/>
    </row>
    <row r="137" spans="1:41" hidden="1" x14ac:dyDescent="0.2">
      <c r="A137" s="4" t="s">
        <v>333</v>
      </c>
      <c r="B137" s="4" t="s">
        <v>334</v>
      </c>
      <c r="C137" s="4" t="s">
        <v>84</v>
      </c>
      <c r="D137" s="4" t="s">
        <v>100</v>
      </c>
      <c r="E137" s="6">
        <v>185.5</v>
      </c>
      <c r="F137" s="4">
        <v>3</v>
      </c>
      <c r="G137" s="5">
        <v>18</v>
      </c>
      <c r="H137" s="5">
        <v>12</v>
      </c>
      <c r="I137" s="5">
        <v>12</v>
      </c>
      <c r="J137" s="5">
        <f>I137-G137</f>
        <v>-6</v>
      </c>
      <c r="K137" s="7">
        <v>6.7743292415843293</v>
      </c>
      <c r="L137" s="7">
        <v>9.0572743135340072</v>
      </c>
      <c r="M137" s="7">
        <v>10.830029655905332</v>
      </c>
      <c r="N137" s="7">
        <v>9.3822142174077356</v>
      </c>
      <c r="O137" s="7">
        <v>115.16359710693359</v>
      </c>
      <c r="P137" s="7">
        <v>153.97366333007812</v>
      </c>
      <c r="Q137" s="7">
        <v>184.11050415039062</v>
      </c>
      <c r="R137" s="7">
        <v>159.49764169593152</v>
      </c>
      <c r="S137" s="5">
        <v>15</v>
      </c>
      <c r="T137" s="5">
        <v>16</v>
      </c>
      <c r="U137" s="5">
        <v>126</v>
      </c>
      <c r="V137" s="4">
        <v>158.01469151446969</v>
      </c>
      <c r="W137" s="4">
        <v>2.9</v>
      </c>
      <c r="X137" s="7">
        <f>draft_board[[#This Row],[expected_ppg]]-draft_board[[#This Row],[median_ppg]]</f>
        <v>0.3249399038737284</v>
      </c>
      <c r="Y137" s="4">
        <v>14.1</v>
      </c>
      <c r="AB137"/>
      <c r="AG137"/>
      <c r="AK137"/>
      <c r="AL137"/>
      <c r="AM137"/>
      <c r="AO137"/>
    </row>
    <row r="138" spans="1:41" hidden="1" x14ac:dyDescent="0.2">
      <c r="A138" t="s">
        <v>283</v>
      </c>
      <c r="B138" t="s">
        <v>284</v>
      </c>
      <c r="C138" t="s">
        <v>84</v>
      </c>
      <c r="D138" t="s">
        <v>62</v>
      </c>
      <c r="E138" s="3">
        <v>132.5</v>
      </c>
      <c r="F138">
        <v>3</v>
      </c>
      <c r="G138" s="1">
        <v>13</v>
      </c>
      <c r="H138" s="1">
        <v>13</v>
      </c>
      <c r="I138" s="1">
        <v>11</v>
      </c>
      <c r="J138" s="1">
        <f>I138-G138</f>
        <v>-2</v>
      </c>
      <c r="K138" s="2">
        <v>8.0374845616957717</v>
      </c>
      <c r="L138" s="2">
        <v>9.7072403851677382</v>
      </c>
      <c r="M138" s="2">
        <v>11.010942346909466</v>
      </c>
      <c r="N138" s="2">
        <v>9.3532225124874415</v>
      </c>
      <c r="O138" s="2">
        <v>136.63723754882812</v>
      </c>
      <c r="P138" s="2">
        <v>165.02308654785156</v>
      </c>
      <c r="Q138" s="2">
        <v>187.18601989746094</v>
      </c>
      <c r="R138" s="2">
        <v>159.0047827122865</v>
      </c>
      <c r="S138" s="1">
        <v>10</v>
      </c>
      <c r="T138" s="1">
        <v>14</v>
      </c>
      <c r="U138" s="1">
        <v>127</v>
      </c>
      <c r="V138">
        <v>162.98564483514716</v>
      </c>
      <c r="W138">
        <v>3.6</v>
      </c>
      <c r="X138" s="2">
        <f>draft_board[[#This Row],[expected_ppg]]-draft_board[[#This Row],[median_ppg]]</f>
        <v>-0.35401787268029672</v>
      </c>
      <c r="Y138">
        <v>13.4</v>
      </c>
      <c r="AB138"/>
      <c r="AG138"/>
      <c r="AK138"/>
      <c r="AL138"/>
      <c r="AM138"/>
      <c r="AO138"/>
    </row>
    <row r="139" spans="1:41" hidden="1" x14ac:dyDescent="0.2">
      <c r="A139" t="s">
        <v>249</v>
      </c>
      <c r="B139" t="s">
        <v>250</v>
      </c>
      <c r="C139" t="s">
        <v>25</v>
      </c>
      <c r="D139" t="s">
        <v>129</v>
      </c>
      <c r="E139" s="3">
        <v>111.5</v>
      </c>
      <c r="F139">
        <v>6</v>
      </c>
      <c r="G139" s="1">
        <v>36</v>
      </c>
      <c r="H139" s="1">
        <v>32</v>
      </c>
      <c r="I139" s="1">
        <v>41</v>
      </c>
      <c r="J139" s="1">
        <f>I139-G139</f>
        <v>5</v>
      </c>
      <c r="K139" s="2">
        <v>5.4739635691923256</v>
      </c>
      <c r="L139" s="2">
        <v>6.9705738740808822</v>
      </c>
      <c r="M139" s="2">
        <v>11.836735444910387</v>
      </c>
      <c r="N139" s="2">
        <v>9.3527083696035813</v>
      </c>
      <c r="O139" s="2">
        <v>93.057380676269531</v>
      </c>
      <c r="P139" s="2">
        <v>118.499755859375</v>
      </c>
      <c r="Q139" s="2">
        <v>201.22450256347656</v>
      </c>
      <c r="R139" s="2">
        <v>158.99604228326089</v>
      </c>
      <c r="S139" s="1">
        <v>37</v>
      </c>
      <c r="T139" s="1">
        <v>28</v>
      </c>
      <c r="U139" s="1">
        <v>128</v>
      </c>
      <c r="V139">
        <v>158.47684804592731</v>
      </c>
      <c r="W139">
        <v>1</v>
      </c>
      <c r="X139" s="2">
        <f>draft_board[[#This Row],[expected_ppg]]-draft_board[[#This Row],[median_ppg]]</f>
        <v>2.3821344955226991</v>
      </c>
      <c r="Y139">
        <v>16</v>
      </c>
      <c r="AB139"/>
      <c r="AG139"/>
      <c r="AK139"/>
      <c r="AL139"/>
      <c r="AM139"/>
      <c r="AO139"/>
    </row>
    <row r="140" spans="1:41" x14ac:dyDescent="0.2">
      <c r="A140" t="s">
        <v>427</v>
      </c>
      <c r="B140" t="s">
        <v>428</v>
      </c>
      <c r="C140" t="s">
        <v>88</v>
      </c>
      <c r="D140" t="s">
        <v>159</v>
      </c>
      <c r="E140" s="3">
        <v>310.33333329999999</v>
      </c>
      <c r="F140">
        <v>5</v>
      </c>
      <c r="G140" s="1">
        <v>32</v>
      </c>
      <c r="H140" s="1">
        <v>53</v>
      </c>
      <c r="I140" s="1">
        <v>47</v>
      </c>
      <c r="J140" s="1">
        <f>I140-G140</f>
        <v>15</v>
      </c>
      <c r="K140" s="2">
        <v>2.2665741864372704</v>
      </c>
      <c r="L140" s="2">
        <v>8.02764892578125</v>
      </c>
      <c r="M140" s="2">
        <v>11.263215906479779</v>
      </c>
      <c r="N140" s="2">
        <v>7.0995730231789977</v>
      </c>
      <c r="O140" s="2">
        <v>38.531761169433594</v>
      </c>
      <c r="P140" s="2">
        <v>136.47003173828125</v>
      </c>
      <c r="Q140" s="2">
        <v>191.47467041015625</v>
      </c>
      <c r="R140" s="2">
        <v>120.69274139404297</v>
      </c>
      <c r="S140" s="1">
        <v>46</v>
      </c>
      <c r="T140" s="1">
        <v>55</v>
      </c>
      <c r="U140" s="1">
        <v>189</v>
      </c>
      <c r="V140">
        <v>125.49512405395507</v>
      </c>
      <c r="W140">
        <v>1.2</v>
      </c>
      <c r="X140" s="2">
        <f>draft_board[[#This Row],[expected_ppg]]-draft_board[[#This Row],[median_ppg]]</f>
        <v>-0.92807590260225226</v>
      </c>
      <c r="Y140">
        <v>15.8</v>
      </c>
      <c r="AB140"/>
      <c r="AG140"/>
      <c r="AK140"/>
      <c r="AL140"/>
      <c r="AM140"/>
      <c r="AO140"/>
    </row>
    <row r="141" spans="1:41" hidden="1" x14ac:dyDescent="0.2">
      <c r="A141" t="s">
        <v>489</v>
      </c>
      <c r="B141" t="s">
        <v>490</v>
      </c>
      <c r="C141" t="s">
        <v>32</v>
      </c>
      <c r="D141" t="s">
        <v>42</v>
      </c>
      <c r="E141" s="3"/>
      <c r="F141">
        <v>5</v>
      </c>
      <c r="H141" s="1">
        <v>46</v>
      </c>
      <c r="I141" s="1">
        <v>48</v>
      </c>
      <c r="J141" s="1">
        <f t="shared" ref="J130:J193" si="1">I141-G141</f>
        <v>48</v>
      </c>
      <c r="K141" s="2">
        <v>6.8626296099494484</v>
      </c>
      <c r="L141" s="2">
        <v>8.260251213522519</v>
      </c>
      <c r="M141" s="2">
        <v>13.322641709271599</v>
      </c>
      <c r="N141" s="2">
        <v>9.1838651831056897</v>
      </c>
      <c r="O141" s="2">
        <v>116.66470336914062</v>
      </c>
      <c r="P141" s="2">
        <v>140.42427062988281</v>
      </c>
      <c r="Q141" s="2">
        <v>226.48490905761719</v>
      </c>
      <c r="R141" s="2">
        <v>156.12570811279673</v>
      </c>
      <c r="S141" s="1">
        <v>43</v>
      </c>
      <c r="T141" s="1">
        <v>37</v>
      </c>
      <c r="U141" s="1">
        <v>129</v>
      </c>
      <c r="V141">
        <v>169.34126744751163</v>
      </c>
      <c r="W141">
        <v>1</v>
      </c>
      <c r="X141" s="2">
        <f>draft_board[[#This Row],[expected_ppg]]-draft_board[[#This Row],[median_ppg]]</f>
        <v>0.92361396958317066</v>
      </c>
      <c r="Y141">
        <v>16</v>
      </c>
      <c r="AB141"/>
      <c r="AG141"/>
      <c r="AK141"/>
      <c r="AL141"/>
      <c r="AM141"/>
      <c r="AO141"/>
    </row>
    <row r="142" spans="1:41" hidden="1" x14ac:dyDescent="0.2">
      <c r="A142" s="4" t="s">
        <v>391</v>
      </c>
      <c r="B142" s="4" t="s">
        <v>392</v>
      </c>
      <c r="C142" s="4" t="s">
        <v>84</v>
      </c>
      <c r="D142" s="4" t="s">
        <v>78</v>
      </c>
      <c r="E142" s="6">
        <v>270.66666670000001</v>
      </c>
      <c r="F142" s="4">
        <v>4</v>
      </c>
      <c r="G142" s="5">
        <v>25</v>
      </c>
      <c r="H142" s="5">
        <v>14</v>
      </c>
      <c r="I142" s="5">
        <v>15</v>
      </c>
      <c r="J142" s="5">
        <f t="shared" si="1"/>
        <v>-10</v>
      </c>
      <c r="K142" s="7">
        <v>4.462813882266774</v>
      </c>
      <c r="L142" s="7">
        <v>8.2732795266544112</v>
      </c>
      <c r="M142" s="7">
        <v>11.714128382065716</v>
      </c>
      <c r="N142" s="7">
        <v>9.1346501841066061</v>
      </c>
      <c r="O142" s="7">
        <v>75.867835998535156</v>
      </c>
      <c r="P142" s="7">
        <v>140.645751953125</v>
      </c>
      <c r="Q142" s="7">
        <v>199.14018249511719</v>
      </c>
      <c r="R142" s="7">
        <v>155.28905312981232</v>
      </c>
      <c r="S142" s="5">
        <v>22</v>
      </c>
      <c r="T142" s="5">
        <v>11</v>
      </c>
      <c r="U142" s="5">
        <v>130</v>
      </c>
      <c r="V142" s="4">
        <v>152.56014851314833</v>
      </c>
      <c r="W142" s="4">
        <v>1</v>
      </c>
      <c r="X142" s="7">
        <f>draft_board[[#This Row],[expected_ppg]]-draft_board[[#This Row],[median_ppg]]</f>
        <v>0.86137065745219488</v>
      </c>
      <c r="Y142" s="4">
        <v>16</v>
      </c>
      <c r="AB142"/>
      <c r="AG142"/>
      <c r="AK142"/>
      <c r="AL142"/>
      <c r="AM142"/>
      <c r="AO142"/>
    </row>
    <row r="143" spans="1:41" hidden="1" x14ac:dyDescent="0.2">
      <c r="A143" s="8" t="s">
        <v>279</v>
      </c>
      <c r="B143" s="8" t="s">
        <v>280</v>
      </c>
      <c r="C143" s="8" t="s">
        <v>84</v>
      </c>
      <c r="D143" s="8" t="s">
        <v>50</v>
      </c>
      <c r="E143" s="10">
        <v>129.75</v>
      </c>
      <c r="F143" s="8">
        <v>4</v>
      </c>
      <c r="G143" s="9">
        <v>12</v>
      </c>
      <c r="H143" s="9">
        <v>15</v>
      </c>
      <c r="I143" s="9">
        <v>16</v>
      </c>
      <c r="J143" s="9">
        <f t="shared" si="1"/>
        <v>4</v>
      </c>
      <c r="K143" s="11">
        <v>6.783415850471048</v>
      </c>
      <c r="L143" s="11">
        <v>8.1605431051815263</v>
      </c>
      <c r="M143" s="11">
        <v>10.340006211224724</v>
      </c>
      <c r="N143" s="11">
        <v>9.1336808684119628</v>
      </c>
      <c r="O143" s="11">
        <v>115.31806945800781</v>
      </c>
      <c r="P143" s="11">
        <v>138.72923278808594</v>
      </c>
      <c r="Q143" s="11">
        <v>175.78010559082031</v>
      </c>
      <c r="R143" s="11">
        <v>155.27257476300338</v>
      </c>
      <c r="S143" s="9">
        <v>14</v>
      </c>
      <c r="T143" s="9">
        <v>19</v>
      </c>
      <c r="U143" s="9">
        <v>131</v>
      </c>
      <c r="V143" s="8">
        <v>153.43393295034934</v>
      </c>
      <c r="W143" s="8">
        <v>2.8</v>
      </c>
      <c r="X143" s="11">
        <f>draft_board[[#This Row],[expected_ppg]]-draft_board[[#This Row],[median_ppg]]</f>
        <v>0.97313776323043655</v>
      </c>
      <c r="Y143" s="8">
        <v>14.2</v>
      </c>
      <c r="AB143"/>
      <c r="AG143"/>
      <c r="AK143"/>
      <c r="AL143"/>
      <c r="AM143"/>
      <c r="AO143"/>
    </row>
    <row r="144" spans="1:41" hidden="1" x14ac:dyDescent="0.2">
      <c r="A144" t="s">
        <v>313</v>
      </c>
      <c r="B144" t="s">
        <v>314</v>
      </c>
      <c r="C144" t="s">
        <v>25</v>
      </c>
      <c r="D144" t="s">
        <v>100</v>
      </c>
      <c r="E144" s="3">
        <v>172.5</v>
      </c>
      <c r="F144">
        <v>6</v>
      </c>
      <c r="G144" s="1">
        <v>48</v>
      </c>
      <c r="H144" s="1">
        <v>33</v>
      </c>
      <c r="I144" s="1">
        <v>28</v>
      </c>
      <c r="J144" s="1">
        <f t="shared" si="1"/>
        <v>-20</v>
      </c>
      <c r="K144" s="2">
        <v>6.4737221212948066</v>
      </c>
      <c r="L144" s="2">
        <v>9.198208977194394</v>
      </c>
      <c r="M144" s="2">
        <v>13.328934613396139</v>
      </c>
      <c r="N144" s="2">
        <v>9.0894925552012769</v>
      </c>
      <c r="O144" s="2">
        <v>110.05327606201172</v>
      </c>
      <c r="P144" s="2">
        <v>156.36955261230469</v>
      </c>
      <c r="Q144" s="2">
        <v>226.59188842773438</v>
      </c>
      <c r="R144" s="2">
        <v>154.5213734384217</v>
      </c>
      <c r="S144" s="1">
        <v>30</v>
      </c>
      <c r="T144" s="1">
        <v>22</v>
      </c>
      <c r="U144" s="1">
        <v>133</v>
      </c>
      <c r="V144">
        <v>167.24890845993352</v>
      </c>
      <c r="W144">
        <v>1.2</v>
      </c>
      <c r="X144" s="2">
        <f>draft_board[[#This Row],[expected_ppg]]-draft_board[[#This Row],[median_ppg]]</f>
        <v>-0.10871642199311715</v>
      </c>
      <c r="Y144">
        <v>15.8</v>
      </c>
      <c r="AB144"/>
      <c r="AG144"/>
      <c r="AK144"/>
      <c r="AL144"/>
      <c r="AM144"/>
      <c r="AO144"/>
    </row>
    <row r="145" spans="1:41" s="4" customFormat="1" hidden="1" x14ac:dyDescent="0.2">
      <c r="A145" t="s">
        <v>229</v>
      </c>
      <c r="B145" t="s">
        <v>230</v>
      </c>
      <c r="C145" t="s">
        <v>25</v>
      </c>
      <c r="D145" t="s">
        <v>126</v>
      </c>
      <c r="E145" s="3">
        <v>99.75</v>
      </c>
      <c r="F145">
        <v>6</v>
      </c>
      <c r="G145" s="1">
        <v>32</v>
      </c>
      <c r="H145" s="1">
        <v>34</v>
      </c>
      <c r="I145" s="1">
        <v>36</v>
      </c>
      <c r="J145" s="1">
        <f t="shared" si="1"/>
        <v>4</v>
      </c>
      <c r="K145" s="2">
        <v>5.599853515625</v>
      </c>
      <c r="L145" s="2">
        <v>7.4478503956514244</v>
      </c>
      <c r="M145" s="2">
        <v>10.580023372874541</v>
      </c>
      <c r="N145" s="2">
        <v>9.0669605294731443</v>
      </c>
      <c r="O145" s="2">
        <v>95.197509765625</v>
      </c>
      <c r="P145" s="2">
        <v>126.61345672607422</v>
      </c>
      <c r="Q145" s="2">
        <v>179.86039733886719</v>
      </c>
      <c r="R145" s="2">
        <v>154.13832900104345</v>
      </c>
      <c r="S145" s="1">
        <v>35</v>
      </c>
      <c r="T145" s="1">
        <v>38</v>
      </c>
      <c r="U145" s="1">
        <v>135</v>
      </c>
      <c r="V145">
        <v>150.06678565530689</v>
      </c>
      <c r="W145">
        <v>0.8</v>
      </c>
      <c r="X145" s="2">
        <f>draft_board[[#This Row],[expected_ppg]]-draft_board[[#This Row],[median_ppg]]</f>
        <v>1.61911013382172</v>
      </c>
      <c r="Y145">
        <v>16.2</v>
      </c>
    </row>
    <row r="146" spans="1:41" hidden="1" x14ac:dyDescent="0.2">
      <c r="A146" t="s">
        <v>150</v>
      </c>
      <c r="B146" t="s">
        <v>151</v>
      </c>
      <c r="C146" t="s">
        <v>32</v>
      </c>
      <c r="D146" t="s">
        <v>129</v>
      </c>
      <c r="E146" s="3">
        <v>53.25</v>
      </c>
      <c r="F146">
        <v>5</v>
      </c>
      <c r="G146" s="1">
        <v>23</v>
      </c>
      <c r="H146" s="1">
        <v>47</v>
      </c>
      <c r="I146" s="1">
        <v>46</v>
      </c>
      <c r="J146" s="1">
        <f t="shared" si="1"/>
        <v>23</v>
      </c>
      <c r="K146" s="2">
        <v>4.9681575999540444</v>
      </c>
      <c r="L146" s="2">
        <v>8.6266111486098342</v>
      </c>
      <c r="M146" s="2">
        <v>13.379263485179228</v>
      </c>
      <c r="N146" s="2">
        <v>9.0526358687255257</v>
      </c>
      <c r="O146" s="2">
        <v>84.45867919921875</v>
      </c>
      <c r="P146" s="2">
        <v>146.65238952636719</v>
      </c>
      <c r="Q146" s="2">
        <v>227.44747924804688</v>
      </c>
      <c r="R146" s="2">
        <v>153.89480976833394</v>
      </c>
      <c r="S146" s="1">
        <v>52</v>
      </c>
      <c r="T146" s="1">
        <v>35</v>
      </c>
      <c r="U146" s="1">
        <v>136</v>
      </c>
      <c r="V146">
        <v>162.07338449842479</v>
      </c>
      <c r="W146">
        <v>1.4</v>
      </c>
      <c r="X146" s="2">
        <f>draft_board[[#This Row],[expected_ppg]]-draft_board[[#This Row],[median_ppg]]</f>
        <v>0.42602472011569148</v>
      </c>
      <c r="Y146">
        <v>15.6</v>
      </c>
      <c r="AB146"/>
      <c r="AG146"/>
      <c r="AK146"/>
      <c r="AL146"/>
      <c r="AM146"/>
      <c r="AO146"/>
    </row>
    <row r="147" spans="1:41" hidden="1" x14ac:dyDescent="0.2">
      <c r="A147" s="4" t="s">
        <v>347</v>
      </c>
      <c r="B147" s="4" t="s">
        <v>348</v>
      </c>
      <c r="C147" s="4" t="s">
        <v>84</v>
      </c>
      <c r="D147" s="4" t="s">
        <v>91</v>
      </c>
      <c r="E147" s="6">
        <v>216</v>
      </c>
      <c r="F147" s="4">
        <v>4</v>
      </c>
      <c r="G147" s="5">
        <v>21</v>
      </c>
      <c r="H147" s="5">
        <v>16</v>
      </c>
      <c r="I147" s="5">
        <v>13</v>
      </c>
      <c r="J147" s="5">
        <f t="shared" si="1"/>
        <v>-8</v>
      </c>
      <c r="K147" s="7">
        <v>7.024046056410846</v>
      </c>
      <c r="L147" s="7">
        <v>8.9064510569852935</v>
      </c>
      <c r="M147" s="7">
        <v>10.328684189740349</v>
      </c>
      <c r="N147" s="7">
        <v>9.0304168907905318</v>
      </c>
      <c r="O147" s="7">
        <v>119.40878295898438</v>
      </c>
      <c r="P147" s="7">
        <v>151.40966796875</v>
      </c>
      <c r="Q147" s="7">
        <v>175.58763122558594</v>
      </c>
      <c r="R147" s="7">
        <v>153.51708714343903</v>
      </c>
      <c r="S147" s="5">
        <v>13</v>
      </c>
      <c r="T147" s="5">
        <v>20</v>
      </c>
      <c r="U147" s="5">
        <v>137</v>
      </c>
      <c r="V147" s="4">
        <v>153.31658953119216</v>
      </c>
      <c r="W147" s="4">
        <v>2.8</v>
      </c>
      <c r="X147" s="7">
        <f>draft_board[[#This Row],[expected_ppg]]-draft_board[[#This Row],[median_ppg]]</f>
        <v>0.12396583380523829</v>
      </c>
      <c r="Y147" s="4">
        <v>14.2</v>
      </c>
      <c r="AB147"/>
      <c r="AG147"/>
      <c r="AK147"/>
      <c r="AL147"/>
      <c r="AM147"/>
      <c r="AO147"/>
    </row>
    <row r="148" spans="1:41" hidden="1" x14ac:dyDescent="0.2">
      <c r="A148" t="s">
        <v>461</v>
      </c>
      <c r="B148" t="s">
        <v>462</v>
      </c>
      <c r="C148" t="s">
        <v>32</v>
      </c>
      <c r="D148" t="s">
        <v>139</v>
      </c>
      <c r="E148" s="3">
        <v>401.33333329999999</v>
      </c>
      <c r="F148">
        <v>5</v>
      </c>
      <c r="G148" s="1">
        <v>95</v>
      </c>
      <c r="H148" s="1">
        <v>48</v>
      </c>
      <c r="I148" s="1">
        <v>40</v>
      </c>
      <c r="J148" s="1">
        <f t="shared" si="1"/>
        <v>-55</v>
      </c>
      <c r="K148" s="2">
        <v>7.2307155833524819</v>
      </c>
      <c r="L148" s="2">
        <v>9.6979289335363053</v>
      </c>
      <c r="M148" s="2">
        <v>12.128487979664522</v>
      </c>
      <c r="N148" s="2">
        <v>8.9582195278906589</v>
      </c>
      <c r="O148" s="2">
        <v>122.92216491699219</v>
      </c>
      <c r="P148" s="2">
        <v>164.86479187011719</v>
      </c>
      <c r="Q148" s="2">
        <v>206.18429565429688</v>
      </c>
      <c r="R148" s="2">
        <v>152.2897319741412</v>
      </c>
      <c r="S148" s="1">
        <v>39</v>
      </c>
      <c r="T148" s="1">
        <v>42</v>
      </c>
      <c r="U148" s="1">
        <v>139</v>
      </c>
      <c r="V148">
        <v>162.5845876667581</v>
      </c>
      <c r="W148">
        <v>1.3</v>
      </c>
      <c r="X148" s="2">
        <f>draft_board[[#This Row],[expected_ppg]]-draft_board[[#This Row],[median_ppg]]</f>
        <v>-0.73970940564564636</v>
      </c>
      <c r="Y148">
        <v>15.7</v>
      </c>
      <c r="AB148"/>
      <c r="AG148"/>
      <c r="AK148"/>
      <c r="AL148"/>
      <c r="AM148"/>
      <c r="AO148"/>
    </row>
    <row r="149" spans="1:41" hidden="1" x14ac:dyDescent="0.2">
      <c r="A149" t="s">
        <v>243</v>
      </c>
      <c r="B149" t="s">
        <v>244</v>
      </c>
      <c r="C149" t="s">
        <v>32</v>
      </c>
      <c r="D149" t="s">
        <v>134</v>
      </c>
      <c r="E149" s="3">
        <v>106.25</v>
      </c>
      <c r="F149">
        <v>6</v>
      </c>
      <c r="G149" s="1">
        <v>38</v>
      </c>
      <c r="H149" s="1">
        <v>49</v>
      </c>
      <c r="I149" s="1">
        <v>56</v>
      </c>
      <c r="J149" s="1">
        <f t="shared" si="1"/>
        <v>18</v>
      </c>
      <c r="K149" s="2">
        <v>5.4006172628963691</v>
      </c>
      <c r="L149" s="2">
        <v>7.3741253123563881</v>
      </c>
      <c r="M149" s="2">
        <v>10.130158368278952</v>
      </c>
      <c r="N149" s="2">
        <v>8.9346761846562561</v>
      </c>
      <c r="O149" s="2">
        <v>91.810493469238281</v>
      </c>
      <c r="P149" s="2">
        <v>125.36013031005859</v>
      </c>
      <c r="Q149" s="2">
        <v>172.21269226074219</v>
      </c>
      <c r="R149" s="2">
        <v>151.88949513915637</v>
      </c>
      <c r="S149" s="1">
        <v>50</v>
      </c>
      <c r="T149" s="1">
        <v>57</v>
      </c>
      <c r="U149" s="1">
        <v>141</v>
      </c>
      <c r="V149">
        <v>145.97065394164849</v>
      </c>
      <c r="W149">
        <v>1</v>
      </c>
      <c r="X149" s="2">
        <f>draft_board[[#This Row],[expected_ppg]]-draft_board[[#This Row],[median_ppg]]</f>
        <v>1.560550872299868</v>
      </c>
      <c r="Y149">
        <v>16</v>
      </c>
      <c r="AB149"/>
      <c r="AG149"/>
      <c r="AK149"/>
      <c r="AL149"/>
      <c r="AM149"/>
      <c r="AO149"/>
    </row>
    <row r="150" spans="1:41" hidden="1" x14ac:dyDescent="0.2">
      <c r="A150" t="s">
        <v>247</v>
      </c>
      <c r="B150" t="s">
        <v>248</v>
      </c>
      <c r="C150" t="s">
        <v>25</v>
      </c>
      <c r="D150" t="s">
        <v>134</v>
      </c>
      <c r="E150" s="3">
        <v>111.15</v>
      </c>
      <c r="F150">
        <v>6</v>
      </c>
      <c r="G150" s="1">
        <v>35</v>
      </c>
      <c r="H150" s="1">
        <v>35</v>
      </c>
      <c r="I150" s="1">
        <v>32</v>
      </c>
      <c r="J150" s="1">
        <f t="shared" si="1"/>
        <v>-3</v>
      </c>
      <c r="K150" s="2">
        <v>7.884186688591452</v>
      </c>
      <c r="L150" s="2">
        <v>8.209865794462317</v>
      </c>
      <c r="M150" s="2">
        <v>11.521226770737591</v>
      </c>
      <c r="N150" s="2">
        <v>8.9230566299926402</v>
      </c>
      <c r="O150" s="2">
        <v>134.03117370605469</v>
      </c>
      <c r="P150" s="2">
        <v>139.56771850585938</v>
      </c>
      <c r="Q150" s="2">
        <v>195.86085510253906</v>
      </c>
      <c r="R150" s="2">
        <v>151.69196270987487</v>
      </c>
      <c r="S150" s="1">
        <v>25</v>
      </c>
      <c r="T150" s="1">
        <v>31</v>
      </c>
      <c r="U150" s="1">
        <v>142</v>
      </c>
      <c r="V150">
        <v>161.41047262691009</v>
      </c>
      <c r="W150">
        <v>1</v>
      </c>
      <c r="X150" s="2">
        <f>draft_board[[#This Row],[expected_ppg]]-draft_board[[#This Row],[median_ppg]]</f>
        <v>0.71319083553032314</v>
      </c>
      <c r="Y150">
        <v>16</v>
      </c>
      <c r="AB150"/>
      <c r="AG150"/>
      <c r="AK150"/>
      <c r="AL150"/>
      <c r="AM150"/>
      <c r="AO150"/>
    </row>
    <row r="151" spans="1:41" hidden="1" x14ac:dyDescent="0.2">
      <c r="A151" s="8" t="s">
        <v>275</v>
      </c>
      <c r="B151" s="8" t="s">
        <v>276</v>
      </c>
      <c r="C151" s="8" t="s">
        <v>84</v>
      </c>
      <c r="D151" s="8" t="s">
        <v>53</v>
      </c>
      <c r="E151" s="10">
        <v>128.5</v>
      </c>
      <c r="F151" s="8">
        <v>4</v>
      </c>
      <c r="G151" s="9">
        <v>11</v>
      </c>
      <c r="H151" s="9">
        <v>17</v>
      </c>
      <c r="I151" s="9">
        <v>17</v>
      </c>
      <c r="J151" s="9">
        <f t="shared" si="1"/>
        <v>6</v>
      </c>
      <c r="K151" s="11">
        <v>5.8946371639476105</v>
      </c>
      <c r="L151" s="11">
        <v>8.1013731115004592</v>
      </c>
      <c r="M151" s="11">
        <v>11.044931748334099</v>
      </c>
      <c r="N151" s="11">
        <v>8.8434526701460072</v>
      </c>
      <c r="O151" s="11">
        <v>100.20883178710938</v>
      </c>
      <c r="P151" s="11">
        <v>137.72334289550781</v>
      </c>
      <c r="Q151" s="11">
        <v>187.76383972167969</v>
      </c>
      <c r="R151" s="11">
        <v>150.33869539248212</v>
      </c>
      <c r="S151" s="9">
        <v>16</v>
      </c>
      <c r="T151" s="9">
        <v>13</v>
      </c>
      <c r="U151" s="9">
        <v>143</v>
      </c>
      <c r="V151" s="8">
        <v>151.54026597016684</v>
      </c>
      <c r="W151" s="8">
        <v>2.2999999999999998</v>
      </c>
      <c r="X151" s="11">
        <f>draft_board[[#This Row],[expected_ppg]]-draft_board[[#This Row],[median_ppg]]</f>
        <v>0.74207955864554798</v>
      </c>
      <c r="Y151" s="8">
        <v>14.7</v>
      </c>
      <c r="AB151"/>
      <c r="AG151"/>
      <c r="AK151"/>
      <c r="AL151"/>
      <c r="AM151"/>
      <c r="AO151"/>
    </row>
    <row r="152" spans="1:41" hidden="1" x14ac:dyDescent="0.2">
      <c r="A152" t="s">
        <v>405</v>
      </c>
      <c r="B152" t="s">
        <v>406</v>
      </c>
      <c r="C152" t="s">
        <v>84</v>
      </c>
      <c r="D152" t="s">
        <v>134</v>
      </c>
      <c r="E152" s="3">
        <v>282.25</v>
      </c>
      <c r="F152">
        <v>4</v>
      </c>
      <c r="G152" s="1">
        <v>26</v>
      </c>
      <c r="H152" s="1">
        <v>18</v>
      </c>
      <c r="I152" s="1">
        <v>19</v>
      </c>
      <c r="J152" s="1">
        <f t="shared" si="1"/>
        <v>-7</v>
      </c>
      <c r="K152" s="2">
        <v>5.3491098740521599</v>
      </c>
      <c r="L152" s="2">
        <v>8.0051125919117645</v>
      </c>
      <c r="M152" s="2">
        <v>10.620468139648438</v>
      </c>
      <c r="N152" s="2">
        <v>8.8337453976792819</v>
      </c>
      <c r="O152" s="2">
        <v>90.934867858886719</v>
      </c>
      <c r="P152" s="2">
        <v>136.0869140625</v>
      </c>
      <c r="Q152" s="2">
        <v>180.54795837402344</v>
      </c>
      <c r="R152" s="2">
        <v>150.17367176054779</v>
      </c>
      <c r="S152" s="1">
        <v>17</v>
      </c>
      <c r="T152" s="1">
        <v>17</v>
      </c>
      <c r="U152" s="1">
        <v>144</v>
      </c>
      <c r="V152">
        <v>147.43819696425828</v>
      </c>
      <c r="W152">
        <v>2.9</v>
      </c>
      <c r="X152" s="2">
        <f>draft_board[[#This Row],[expected_ppg]]-draft_board[[#This Row],[median_ppg]]</f>
        <v>0.82863280576751741</v>
      </c>
      <c r="Y152">
        <v>14.1</v>
      </c>
      <c r="AB152"/>
      <c r="AG152"/>
      <c r="AK152"/>
      <c r="AL152"/>
      <c r="AM152"/>
      <c r="AO152"/>
    </row>
    <row r="153" spans="1:41" hidden="1" x14ac:dyDescent="0.2">
      <c r="A153" t="s">
        <v>271</v>
      </c>
      <c r="B153" t="s">
        <v>272</v>
      </c>
      <c r="C153" t="s">
        <v>25</v>
      </c>
      <c r="D153" t="s">
        <v>56</v>
      </c>
      <c r="E153" s="3">
        <v>128.25</v>
      </c>
      <c r="F153">
        <v>6</v>
      </c>
      <c r="G153" s="1">
        <v>41</v>
      </c>
      <c r="H153" s="1">
        <v>36</v>
      </c>
      <c r="I153" s="1">
        <v>39</v>
      </c>
      <c r="J153" s="1">
        <f t="shared" si="1"/>
        <v>-2</v>
      </c>
      <c r="K153" s="2">
        <v>5.5210454604204964</v>
      </c>
      <c r="L153" s="2">
        <v>7.2100776223575371</v>
      </c>
      <c r="M153" s="2">
        <v>9.8422905417049638</v>
      </c>
      <c r="N153" s="2">
        <v>8.7884529999329875</v>
      </c>
      <c r="O153" s="2">
        <v>93.857772827148438</v>
      </c>
      <c r="P153" s="2">
        <v>122.57131958007812</v>
      </c>
      <c r="Q153" s="2">
        <v>167.31893920898438</v>
      </c>
      <c r="R153" s="2">
        <v>149.40370099886078</v>
      </c>
      <c r="S153" s="1">
        <v>36</v>
      </c>
      <c r="T153" s="1">
        <v>43</v>
      </c>
      <c r="U153" s="1">
        <v>145</v>
      </c>
      <c r="V153">
        <v>143.66908682755539</v>
      </c>
      <c r="W153">
        <v>2.4</v>
      </c>
      <c r="X153" s="2">
        <f>draft_board[[#This Row],[expected_ppg]]-draft_board[[#This Row],[median_ppg]]</f>
        <v>1.5783753775754503</v>
      </c>
      <c r="Y153">
        <v>14.6</v>
      </c>
      <c r="AB153"/>
      <c r="AG153"/>
      <c r="AK153"/>
      <c r="AL153"/>
      <c r="AM153"/>
      <c r="AO153"/>
    </row>
    <row r="154" spans="1:41" hidden="1" x14ac:dyDescent="0.2">
      <c r="A154" t="s">
        <v>259</v>
      </c>
      <c r="B154" t="s">
        <v>260</v>
      </c>
      <c r="C154" t="s">
        <v>25</v>
      </c>
      <c r="D154" t="s">
        <v>156</v>
      </c>
      <c r="E154" s="3">
        <v>116.5</v>
      </c>
      <c r="F154">
        <v>6</v>
      </c>
      <c r="G154" s="1">
        <v>38</v>
      </c>
      <c r="H154" s="1">
        <v>37</v>
      </c>
      <c r="I154" s="1">
        <v>45</v>
      </c>
      <c r="J154" s="1">
        <f t="shared" si="1"/>
        <v>7</v>
      </c>
      <c r="K154" s="2">
        <v>4.6351129868451286</v>
      </c>
      <c r="L154" s="2">
        <v>6.134873782887178</v>
      </c>
      <c r="M154" s="2">
        <v>9.2303296257467835</v>
      </c>
      <c r="N154" s="2">
        <v>8.7837263846665561</v>
      </c>
      <c r="O154" s="2">
        <v>78.796920776367188</v>
      </c>
      <c r="P154" s="2">
        <v>104.29285430908203</v>
      </c>
      <c r="Q154" s="2">
        <v>156.91560363769531</v>
      </c>
      <c r="R154" s="2">
        <v>149.32334853933145</v>
      </c>
      <c r="S154" s="1">
        <v>41</v>
      </c>
      <c r="T154" s="1">
        <v>47</v>
      </c>
      <c r="U154" s="1">
        <v>146</v>
      </c>
      <c r="V154">
        <v>137.49573951624774</v>
      </c>
      <c r="W154">
        <v>0.9</v>
      </c>
      <c r="X154" s="2">
        <f>draft_board[[#This Row],[expected_ppg]]-draft_board[[#This Row],[median_ppg]]</f>
        <v>2.6488526017793781</v>
      </c>
      <c r="Y154">
        <v>16.100000000000001</v>
      </c>
      <c r="AB154"/>
      <c r="AG154"/>
      <c r="AK154"/>
      <c r="AL154"/>
      <c r="AM154"/>
      <c r="AO154"/>
    </row>
    <row r="155" spans="1:41" hidden="1" x14ac:dyDescent="0.2">
      <c r="A155" t="s">
        <v>421</v>
      </c>
      <c r="B155" t="s">
        <v>422</v>
      </c>
      <c r="C155" t="s">
        <v>32</v>
      </c>
      <c r="D155" t="s">
        <v>39</v>
      </c>
      <c r="E155" s="3">
        <v>301</v>
      </c>
      <c r="F155">
        <v>6</v>
      </c>
      <c r="G155" s="1">
        <v>83</v>
      </c>
      <c r="H155" s="1">
        <v>50</v>
      </c>
      <c r="I155" s="1">
        <v>44</v>
      </c>
      <c r="J155" s="1">
        <f t="shared" si="1"/>
        <v>-39</v>
      </c>
      <c r="K155" s="2">
        <v>5.5684859331916359</v>
      </c>
      <c r="L155" s="2">
        <v>8.7221931008731612</v>
      </c>
      <c r="M155" s="2">
        <v>9.9934844970703125</v>
      </c>
      <c r="N155" s="2">
        <v>8.7633108222151641</v>
      </c>
      <c r="O155" s="2">
        <v>94.664260864257812</v>
      </c>
      <c r="P155" s="2">
        <v>148.27728271484375</v>
      </c>
      <c r="Q155" s="2">
        <v>169.88923645019531</v>
      </c>
      <c r="R155" s="2">
        <v>148.9762839776578</v>
      </c>
      <c r="S155" s="1">
        <v>49</v>
      </c>
      <c r="T155" s="1">
        <v>59</v>
      </c>
      <c r="U155" s="1">
        <v>147</v>
      </c>
      <c r="V155">
        <v>144.38776509673906</v>
      </c>
      <c r="W155">
        <v>0.9</v>
      </c>
      <c r="X155" s="2">
        <f>draft_board[[#This Row],[expected_ppg]]-draft_board[[#This Row],[median_ppg]]</f>
        <v>4.1117721342002866E-2</v>
      </c>
      <c r="Y155">
        <v>16.100000000000001</v>
      </c>
      <c r="AB155"/>
      <c r="AG155"/>
      <c r="AK155"/>
      <c r="AL155"/>
      <c r="AM155"/>
      <c r="AO155"/>
    </row>
    <row r="156" spans="1:41" hidden="1" x14ac:dyDescent="0.2">
      <c r="A156" t="s">
        <v>375</v>
      </c>
      <c r="B156" t="s">
        <v>376</v>
      </c>
      <c r="C156" t="s">
        <v>32</v>
      </c>
      <c r="D156" t="s">
        <v>75</v>
      </c>
      <c r="E156" s="3">
        <v>256.75</v>
      </c>
      <c r="F156">
        <v>6</v>
      </c>
      <c r="G156" s="1">
        <v>70</v>
      </c>
      <c r="H156" s="1">
        <v>51</v>
      </c>
      <c r="I156" s="1">
        <v>66</v>
      </c>
      <c r="J156" s="1">
        <f t="shared" si="1"/>
        <v>-4</v>
      </c>
      <c r="K156" s="2">
        <v>4.2750746783088234</v>
      </c>
      <c r="L156" s="2">
        <v>6.1312592450310204</v>
      </c>
      <c r="M156" s="2">
        <v>9.9893924488740815</v>
      </c>
      <c r="N156" s="2">
        <v>8.6138184471344754</v>
      </c>
      <c r="O156" s="2">
        <v>72.67626953125</v>
      </c>
      <c r="P156" s="2">
        <v>104.23140716552734</v>
      </c>
      <c r="Q156" s="2">
        <v>169.81967163085938</v>
      </c>
      <c r="R156" s="2">
        <v>146.43491360128607</v>
      </c>
      <c r="S156" s="1">
        <v>58</v>
      </c>
      <c r="T156" s="1">
        <v>61</v>
      </c>
      <c r="U156" s="1">
        <v>148</v>
      </c>
      <c r="V156">
        <v>138.69861219615086</v>
      </c>
      <c r="W156">
        <v>1</v>
      </c>
      <c r="X156" s="2">
        <f>draft_board[[#This Row],[expected_ppg]]-draft_board[[#This Row],[median_ppg]]</f>
        <v>2.482559202103455</v>
      </c>
      <c r="Y156">
        <v>16</v>
      </c>
      <c r="AB156"/>
      <c r="AG156"/>
      <c r="AK156"/>
      <c r="AL156"/>
      <c r="AM156"/>
      <c r="AO156"/>
    </row>
    <row r="157" spans="1:41" hidden="1" x14ac:dyDescent="0.2">
      <c r="A157" t="s">
        <v>367</v>
      </c>
      <c r="B157" t="s">
        <v>368</v>
      </c>
      <c r="C157" t="s">
        <v>25</v>
      </c>
      <c r="D157" t="s">
        <v>78</v>
      </c>
      <c r="E157" s="3">
        <v>252.25</v>
      </c>
      <c r="F157">
        <v>6</v>
      </c>
      <c r="G157" s="1">
        <v>67</v>
      </c>
      <c r="H157" s="1">
        <v>38</v>
      </c>
      <c r="I157" s="1">
        <v>35</v>
      </c>
      <c r="J157" s="1">
        <f t="shared" si="1"/>
        <v>-32</v>
      </c>
      <c r="K157" s="2">
        <v>5.9725153305951286</v>
      </c>
      <c r="L157" s="2">
        <v>7.5057853249942559</v>
      </c>
      <c r="M157" s="2">
        <v>10.528225169462317</v>
      </c>
      <c r="N157" s="2">
        <v>8.6026904109576918</v>
      </c>
      <c r="O157" s="2">
        <v>101.53276062011719</v>
      </c>
      <c r="P157" s="2">
        <v>127.59835052490234</v>
      </c>
      <c r="Q157" s="2">
        <v>178.97982788085938</v>
      </c>
      <c r="R157" s="2">
        <v>146.24573698628075</v>
      </c>
      <c r="S157" s="1">
        <v>32</v>
      </c>
      <c r="T157" s="1">
        <v>39</v>
      </c>
      <c r="U157" s="1">
        <v>149</v>
      </c>
      <c r="V157">
        <v>147.12336898142161</v>
      </c>
      <c r="W157">
        <v>1</v>
      </c>
      <c r="X157" s="2">
        <f>draft_board[[#This Row],[expected_ppg]]-draft_board[[#This Row],[median_ppg]]</f>
        <v>1.0969050859634359</v>
      </c>
      <c r="Y157">
        <v>16</v>
      </c>
      <c r="AB157"/>
      <c r="AG157"/>
      <c r="AK157"/>
      <c r="AL157"/>
      <c r="AM157"/>
      <c r="AO157"/>
    </row>
    <row r="158" spans="1:41" hidden="1" x14ac:dyDescent="0.2">
      <c r="A158" t="s">
        <v>174</v>
      </c>
      <c r="B158" t="s">
        <v>175</v>
      </c>
      <c r="C158" t="s">
        <v>32</v>
      </c>
      <c r="D158" t="s">
        <v>42</v>
      </c>
      <c r="E158" s="3">
        <v>65</v>
      </c>
      <c r="F158">
        <v>6</v>
      </c>
      <c r="G158" s="1">
        <v>28</v>
      </c>
      <c r="H158" s="1">
        <v>52</v>
      </c>
      <c r="I158" s="1">
        <v>36</v>
      </c>
      <c r="J158" s="1">
        <f t="shared" si="1"/>
        <v>8</v>
      </c>
      <c r="K158" s="2">
        <v>7.0910114961511947</v>
      </c>
      <c r="L158" s="2">
        <v>10.252899169921875</v>
      </c>
      <c r="M158" s="2">
        <v>10.604128669289981</v>
      </c>
      <c r="N158" s="2">
        <v>8.5987760701994347</v>
      </c>
      <c r="O158" s="2">
        <v>120.54719543457031</v>
      </c>
      <c r="P158" s="2">
        <v>174.29928588867188</v>
      </c>
      <c r="Q158" s="2">
        <v>180.27018737792969</v>
      </c>
      <c r="R158" s="2">
        <v>146.17919319339038</v>
      </c>
      <c r="S158" s="1">
        <v>40</v>
      </c>
      <c r="T158" s="1">
        <v>52</v>
      </c>
      <c r="U158" s="1">
        <v>150</v>
      </c>
      <c r="V158">
        <v>151.28009189698815</v>
      </c>
      <c r="W158">
        <v>2.4</v>
      </c>
      <c r="X158" s="2">
        <f>draft_board[[#This Row],[expected_ppg]]-draft_board[[#This Row],[median_ppg]]</f>
        <v>-1.6541230997224403</v>
      </c>
      <c r="Y158">
        <v>14.6</v>
      </c>
      <c r="AB158"/>
      <c r="AG158"/>
      <c r="AK158"/>
      <c r="AL158"/>
      <c r="AM158"/>
      <c r="AO158"/>
    </row>
    <row r="159" spans="1:41" hidden="1" x14ac:dyDescent="0.2">
      <c r="A159" t="s">
        <v>447</v>
      </c>
      <c r="B159" t="s">
        <v>448</v>
      </c>
      <c r="C159" t="s">
        <v>32</v>
      </c>
      <c r="D159" t="s">
        <v>53</v>
      </c>
      <c r="E159" s="3">
        <v>352.33333329999999</v>
      </c>
      <c r="F159">
        <v>6</v>
      </c>
      <c r="G159" s="1">
        <v>92</v>
      </c>
      <c r="H159" s="1">
        <v>53</v>
      </c>
      <c r="I159" s="1">
        <v>54</v>
      </c>
      <c r="J159" s="1">
        <f t="shared" si="1"/>
        <v>-38</v>
      </c>
      <c r="K159" s="2">
        <v>5.3364787382238053</v>
      </c>
      <c r="L159" s="2">
        <v>7.4391501931583184</v>
      </c>
      <c r="M159" s="2">
        <v>10.214654361500459</v>
      </c>
      <c r="N159" s="2">
        <v>8.5645368809591496</v>
      </c>
      <c r="O159" s="2">
        <v>90.720138549804688</v>
      </c>
      <c r="P159" s="2">
        <v>126.46555328369141</v>
      </c>
      <c r="Q159" s="2">
        <v>173.64912414550781</v>
      </c>
      <c r="R159" s="2">
        <v>145.59712697630553</v>
      </c>
      <c r="S159" s="1">
        <v>51</v>
      </c>
      <c r="T159" s="1">
        <v>56</v>
      </c>
      <c r="U159" s="1">
        <v>151</v>
      </c>
      <c r="V159">
        <v>143.03732844176605</v>
      </c>
      <c r="W159">
        <v>1.4</v>
      </c>
      <c r="X159" s="2">
        <f>draft_board[[#This Row],[expected_ppg]]-draft_board[[#This Row],[median_ppg]]</f>
        <v>1.1253866878008312</v>
      </c>
      <c r="Y159">
        <v>15.6</v>
      </c>
      <c r="AB159"/>
      <c r="AG159"/>
      <c r="AK159"/>
      <c r="AL159"/>
      <c r="AM159"/>
      <c r="AO159"/>
    </row>
    <row r="160" spans="1:41" hidden="1" x14ac:dyDescent="0.2">
      <c r="A160" t="s">
        <v>463</v>
      </c>
      <c r="B160" t="s">
        <v>464</v>
      </c>
      <c r="C160" t="s">
        <v>32</v>
      </c>
      <c r="D160" t="s">
        <v>220</v>
      </c>
      <c r="E160" s="3">
        <v>429.66666670000001</v>
      </c>
      <c r="F160">
        <v>6</v>
      </c>
      <c r="G160" s="1">
        <v>97</v>
      </c>
      <c r="H160" s="1">
        <v>54</v>
      </c>
      <c r="I160" s="1">
        <v>50</v>
      </c>
      <c r="J160" s="1">
        <f t="shared" si="1"/>
        <v>-47</v>
      </c>
      <c r="K160" s="2">
        <v>4.6481327730066635</v>
      </c>
      <c r="L160" s="2">
        <v>7.8029812083524819</v>
      </c>
      <c r="M160" s="2">
        <v>10.791968850528493</v>
      </c>
      <c r="N160" s="2">
        <v>8.5494368583935465</v>
      </c>
      <c r="O160" s="2">
        <v>79.018257141113281</v>
      </c>
      <c r="P160" s="2">
        <v>132.65068054199219</v>
      </c>
      <c r="Q160" s="2">
        <v>183.46347045898438</v>
      </c>
      <c r="R160" s="2">
        <v>145.34042659269028</v>
      </c>
      <c r="S160" s="1">
        <v>53</v>
      </c>
      <c r="T160" s="1">
        <v>50</v>
      </c>
      <c r="U160" s="1">
        <v>152</v>
      </c>
      <c r="V160">
        <v>143.5129058622631</v>
      </c>
      <c r="W160">
        <v>0.6</v>
      </c>
      <c r="X160" s="2">
        <f>draft_board[[#This Row],[expected_ppg]]-draft_board[[#This Row],[median_ppg]]</f>
        <v>0.74645565004106462</v>
      </c>
      <c r="Y160">
        <v>16.399999999999999</v>
      </c>
      <c r="AB160"/>
      <c r="AG160"/>
      <c r="AK160"/>
      <c r="AL160"/>
      <c r="AM160"/>
      <c r="AO160"/>
    </row>
    <row r="161" spans="1:41" hidden="1" x14ac:dyDescent="0.2">
      <c r="A161" t="s">
        <v>251</v>
      </c>
      <c r="B161" t="s">
        <v>252</v>
      </c>
      <c r="C161" t="s">
        <v>32</v>
      </c>
      <c r="D161" t="s">
        <v>119</v>
      </c>
      <c r="E161" s="3">
        <v>112.25</v>
      </c>
      <c r="F161">
        <v>6</v>
      </c>
      <c r="G161" s="1">
        <v>40</v>
      </c>
      <c r="H161" s="1">
        <v>55</v>
      </c>
      <c r="I161" s="1">
        <v>57</v>
      </c>
      <c r="J161" s="1">
        <f t="shared" si="1"/>
        <v>17</v>
      </c>
      <c r="K161" s="2">
        <v>4.4998855590820312</v>
      </c>
      <c r="L161" s="2">
        <v>7.1594772338867188</v>
      </c>
      <c r="M161" s="2">
        <v>11.186940810259651</v>
      </c>
      <c r="N161" s="2">
        <v>8.5376710755788316</v>
      </c>
      <c r="O161" s="2">
        <v>76.498054504394531</v>
      </c>
      <c r="P161" s="2">
        <v>121.71111297607422</v>
      </c>
      <c r="Q161" s="2">
        <v>190.17799377441406</v>
      </c>
      <c r="R161" s="2">
        <v>145.14040828484013</v>
      </c>
      <c r="S161" s="1">
        <v>54</v>
      </c>
      <c r="T161" s="1">
        <v>47</v>
      </c>
      <c r="U161" s="1">
        <v>153</v>
      </c>
      <c r="V161">
        <v>144.9232131756232</v>
      </c>
      <c r="W161">
        <v>2</v>
      </c>
      <c r="X161" s="2">
        <f>draft_board[[#This Row],[expected_ppg]]-draft_board[[#This Row],[median_ppg]]</f>
        <v>1.3781938416921129</v>
      </c>
      <c r="Y161">
        <v>15</v>
      </c>
      <c r="AB161"/>
      <c r="AG161"/>
      <c r="AK161"/>
      <c r="AL161"/>
      <c r="AM161"/>
      <c r="AO161"/>
    </row>
    <row r="162" spans="1:41" hidden="1" x14ac:dyDescent="0.2">
      <c r="A162" t="s">
        <v>325</v>
      </c>
      <c r="B162" t="s">
        <v>326</v>
      </c>
      <c r="C162" t="s">
        <v>84</v>
      </c>
      <c r="D162" t="s">
        <v>182</v>
      </c>
      <c r="E162" s="3">
        <v>182.5</v>
      </c>
      <c r="F162">
        <v>4</v>
      </c>
      <c r="G162" s="1">
        <v>17</v>
      </c>
      <c r="H162" s="1">
        <v>19</v>
      </c>
      <c r="I162" s="1">
        <v>14</v>
      </c>
      <c r="J162" s="1">
        <f t="shared" si="1"/>
        <v>-3</v>
      </c>
      <c r="K162" s="2">
        <v>5.1172700769761033</v>
      </c>
      <c r="L162" s="2">
        <v>8.326322667738971</v>
      </c>
      <c r="M162" s="2">
        <v>11.854349472943474</v>
      </c>
      <c r="N162" s="2">
        <v>8.4925382197385417</v>
      </c>
      <c r="O162" s="2">
        <v>86.99359130859375</v>
      </c>
      <c r="P162" s="2">
        <v>141.5474853515625</v>
      </c>
      <c r="Q162" s="2">
        <v>201.52394104003906</v>
      </c>
      <c r="R162" s="2">
        <v>144.37314973555522</v>
      </c>
      <c r="S162" s="1">
        <v>18</v>
      </c>
      <c r="T162" s="1">
        <v>10</v>
      </c>
      <c r="U162" s="1">
        <v>154</v>
      </c>
      <c r="V162">
        <v>150.04247544150809</v>
      </c>
      <c r="W162">
        <v>3.4</v>
      </c>
      <c r="X162" s="2">
        <f>draft_board[[#This Row],[expected_ppg]]-draft_board[[#This Row],[median_ppg]]</f>
        <v>0.16621555199957072</v>
      </c>
      <c r="Y162">
        <v>13.6</v>
      </c>
      <c r="AB162"/>
      <c r="AG162"/>
      <c r="AK162"/>
      <c r="AL162"/>
      <c r="AM162"/>
      <c r="AO162"/>
    </row>
    <row r="163" spans="1:41" hidden="1" x14ac:dyDescent="0.2">
      <c r="A163" t="s">
        <v>297</v>
      </c>
      <c r="B163" t="s">
        <v>298</v>
      </c>
      <c r="C163" t="s">
        <v>25</v>
      </c>
      <c r="D163" t="s">
        <v>220</v>
      </c>
      <c r="E163" s="3">
        <v>148</v>
      </c>
      <c r="F163">
        <v>6</v>
      </c>
      <c r="G163" s="1">
        <v>43</v>
      </c>
      <c r="H163" s="1">
        <v>39</v>
      </c>
      <c r="I163" s="1">
        <v>43</v>
      </c>
      <c r="J163" s="1">
        <f t="shared" si="1"/>
        <v>0</v>
      </c>
      <c r="K163" s="2">
        <v>5.1716734942267921</v>
      </c>
      <c r="L163" s="2">
        <v>6.6296822043026191</v>
      </c>
      <c r="M163" s="2">
        <v>12.056667552274817</v>
      </c>
      <c r="N163" s="2">
        <v>8.1399822262011874</v>
      </c>
      <c r="O163" s="2">
        <v>87.918449401855469</v>
      </c>
      <c r="P163" s="2">
        <v>112.70459747314453</v>
      </c>
      <c r="Q163" s="2">
        <v>204.96334838867188</v>
      </c>
      <c r="R163" s="2">
        <v>138.3796978454202</v>
      </c>
      <c r="S163" s="1">
        <v>39</v>
      </c>
      <c r="T163" s="1">
        <v>27</v>
      </c>
      <c r="U163" s="1">
        <v>157</v>
      </c>
      <c r="V163">
        <v>148.26254331968275</v>
      </c>
      <c r="W163">
        <v>1</v>
      </c>
      <c r="X163" s="2">
        <f>draft_board[[#This Row],[expected_ppg]]-draft_board[[#This Row],[median_ppg]]</f>
        <v>1.5103000218985683</v>
      </c>
      <c r="Y163">
        <v>16</v>
      </c>
      <c r="AB163"/>
      <c r="AG163"/>
      <c r="AK163"/>
      <c r="AL163"/>
      <c r="AM163"/>
      <c r="AO163"/>
    </row>
    <row r="164" spans="1:41" hidden="1" x14ac:dyDescent="0.2">
      <c r="A164" t="s">
        <v>473</v>
      </c>
      <c r="B164" t="s">
        <v>474</v>
      </c>
      <c r="C164" t="s">
        <v>84</v>
      </c>
      <c r="D164" t="s">
        <v>106</v>
      </c>
      <c r="E164" s="3">
        <v>483</v>
      </c>
      <c r="F164">
        <v>5</v>
      </c>
      <c r="G164" s="1">
        <v>34</v>
      </c>
      <c r="H164" s="1">
        <v>20</v>
      </c>
      <c r="I164" s="1">
        <v>20</v>
      </c>
      <c r="J164" s="1">
        <f t="shared" si="1"/>
        <v>-14</v>
      </c>
      <c r="K164" s="2">
        <v>4.4988138535443474</v>
      </c>
      <c r="L164" s="2">
        <v>7.6425368365119484</v>
      </c>
      <c r="M164" s="2">
        <v>10.468959135167738</v>
      </c>
      <c r="N164" s="2">
        <v>8.099104413865085</v>
      </c>
      <c r="O164" s="2">
        <v>76.479835510253906</v>
      </c>
      <c r="P164" s="2">
        <v>129.92312622070312</v>
      </c>
      <c r="Q164" s="2">
        <v>177.97230529785156</v>
      </c>
      <c r="R164" s="2">
        <v>137.68477503570645</v>
      </c>
      <c r="S164" s="1">
        <v>21</v>
      </c>
      <c r="T164" s="1">
        <v>18</v>
      </c>
      <c r="U164" s="1">
        <v>158</v>
      </c>
      <c r="V164">
        <v>137.53004620925947</v>
      </c>
      <c r="W164">
        <v>1</v>
      </c>
      <c r="X164" s="2">
        <f>draft_board[[#This Row],[expected_ppg]]-draft_board[[#This Row],[median_ppg]]</f>
        <v>0.45656757735313658</v>
      </c>
      <c r="Y164">
        <v>16</v>
      </c>
      <c r="AB164"/>
      <c r="AG164"/>
      <c r="AK164"/>
      <c r="AL164"/>
      <c r="AM164"/>
      <c r="AO164"/>
    </row>
    <row r="165" spans="1:41" hidden="1" x14ac:dyDescent="0.2">
      <c r="A165" t="s">
        <v>385</v>
      </c>
      <c r="B165" t="s">
        <v>386</v>
      </c>
      <c r="C165" t="s">
        <v>84</v>
      </c>
      <c r="D165" t="s">
        <v>39</v>
      </c>
      <c r="E165" s="3">
        <v>263.75</v>
      </c>
      <c r="F165">
        <v>5</v>
      </c>
      <c r="G165" s="1">
        <v>24</v>
      </c>
      <c r="H165" s="1">
        <v>21</v>
      </c>
      <c r="I165" s="1">
        <v>21</v>
      </c>
      <c r="J165" s="1">
        <f t="shared" si="1"/>
        <v>-3</v>
      </c>
      <c r="K165" s="2">
        <v>4.4996683457318474</v>
      </c>
      <c r="L165" s="2">
        <v>7.0231911154354316</v>
      </c>
      <c r="M165" s="2">
        <v>9.1524451760684737</v>
      </c>
      <c r="N165" s="2">
        <v>8.068430245482169</v>
      </c>
      <c r="O165" s="2">
        <v>76.494361877441406</v>
      </c>
      <c r="P165" s="2">
        <v>119.39424896240234</v>
      </c>
      <c r="Q165" s="2">
        <v>155.59156799316406</v>
      </c>
      <c r="R165" s="2">
        <v>137.16331417319688</v>
      </c>
      <c r="S165" s="1">
        <v>20</v>
      </c>
      <c r="T165" s="1">
        <v>23</v>
      </c>
      <c r="U165" s="1">
        <v>159</v>
      </c>
      <c r="V165">
        <v>130.55799986003595</v>
      </c>
      <c r="W165">
        <v>1.1000000000000001</v>
      </c>
      <c r="X165" s="2">
        <f>draft_board[[#This Row],[expected_ppg]]-draft_board[[#This Row],[median_ppg]]</f>
        <v>1.0452391300467374</v>
      </c>
      <c r="Y165">
        <v>15.9</v>
      </c>
      <c r="AB165"/>
      <c r="AG165"/>
      <c r="AK165"/>
      <c r="AL165"/>
      <c r="AM165"/>
      <c r="AO165"/>
    </row>
    <row r="166" spans="1:41" hidden="1" x14ac:dyDescent="0.2">
      <c r="A166" t="s">
        <v>505</v>
      </c>
      <c r="B166" t="s">
        <v>506</v>
      </c>
      <c r="C166" t="s">
        <v>32</v>
      </c>
      <c r="D166" t="s">
        <v>91</v>
      </c>
      <c r="E166" s="3"/>
      <c r="F166">
        <v>6</v>
      </c>
      <c r="H166" s="1">
        <v>56</v>
      </c>
      <c r="I166" s="1">
        <v>55</v>
      </c>
      <c r="J166" s="1">
        <f t="shared" si="1"/>
        <v>55</v>
      </c>
      <c r="K166" s="2">
        <v>4.2813756606158089</v>
      </c>
      <c r="L166" s="2">
        <v>7.4330260332892921</v>
      </c>
      <c r="M166" s="2">
        <v>10.739984848920036</v>
      </c>
      <c r="N166" s="2">
        <v>8.0487828189738639</v>
      </c>
      <c r="O166" s="2">
        <v>72.78338623046875</v>
      </c>
      <c r="P166" s="2">
        <v>126.36144256591797</v>
      </c>
      <c r="Q166" s="2">
        <v>182.57974243164062</v>
      </c>
      <c r="R166" s="2">
        <v>136.8293079225557</v>
      </c>
      <c r="S166" s="1">
        <v>57</v>
      </c>
      <c r="T166" s="1">
        <v>51</v>
      </c>
      <c r="U166" s="1">
        <v>160</v>
      </c>
      <c r="V166">
        <v>137.74525393686378</v>
      </c>
      <c r="W166">
        <v>1.4</v>
      </c>
      <c r="X166" s="2">
        <f>draft_board[[#This Row],[expected_ppg]]-draft_board[[#This Row],[median_ppg]]</f>
        <v>0.61575678568457182</v>
      </c>
      <c r="Y166">
        <v>15.6</v>
      </c>
      <c r="AB166"/>
      <c r="AG166"/>
      <c r="AK166"/>
      <c r="AL166"/>
      <c r="AM166"/>
      <c r="AO166"/>
    </row>
    <row r="167" spans="1:41" hidden="1" x14ac:dyDescent="0.2">
      <c r="A167" t="s">
        <v>291</v>
      </c>
      <c r="B167" t="s">
        <v>292</v>
      </c>
      <c r="C167" t="s">
        <v>84</v>
      </c>
      <c r="D167" t="s">
        <v>81</v>
      </c>
      <c r="E167" s="3">
        <v>145</v>
      </c>
      <c r="F167">
        <v>5</v>
      </c>
      <c r="G167" s="1">
        <v>15</v>
      </c>
      <c r="H167" s="1">
        <v>22</v>
      </c>
      <c r="I167" s="1">
        <v>24</v>
      </c>
      <c r="J167" s="1">
        <f t="shared" si="1"/>
        <v>9</v>
      </c>
      <c r="K167" s="2">
        <v>4.5791554170496322</v>
      </c>
      <c r="L167" s="2">
        <v>6.4682092105641082</v>
      </c>
      <c r="M167" s="2">
        <v>8.9930348115808822</v>
      </c>
      <c r="N167" s="2">
        <v>8.0476344082358491</v>
      </c>
      <c r="O167" s="2">
        <v>77.84564208984375</v>
      </c>
      <c r="P167" s="2">
        <v>109.95955657958984</v>
      </c>
      <c r="Q167" s="2">
        <v>152.881591796875</v>
      </c>
      <c r="R167" s="2">
        <v>136.80978494000942</v>
      </c>
      <c r="S167" s="1">
        <v>19</v>
      </c>
      <c r="T167" s="1">
        <v>24</v>
      </c>
      <c r="U167" s="1">
        <v>161</v>
      </c>
      <c r="V167">
        <v>129.83849842703597</v>
      </c>
      <c r="W167">
        <v>0.9</v>
      </c>
      <c r="X167" s="2">
        <f>draft_board[[#This Row],[expected_ppg]]-draft_board[[#This Row],[median_ppg]]</f>
        <v>1.5794251976717408</v>
      </c>
      <c r="Y167">
        <v>16.100000000000001</v>
      </c>
      <c r="AB167"/>
      <c r="AG167"/>
      <c r="AK167"/>
      <c r="AL167"/>
      <c r="AM167"/>
      <c r="AO167"/>
    </row>
    <row r="168" spans="1:41" hidden="1" x14ac:dyDescent="0.2">
      <c r="A168" t="s">
        <v>417</v>
      </c>
      <c r="B168" t="s">
        <v>418</v>
      </c>
      <c r="C168" t="s">
        <v>84</v>
      </c>
      <c r="D168" t="s">
        <v>199</v>
      </c>
      <c r="E168" s="3">
        <v>300</v>
      </c>
      <c r="F168">
        <v>5</v>
      </c>
      <c r="G168" s="1">
        <v>27</v>
      </c>
      <c r="H168" s="1">
        <v>23</v>
      </c>
      <c r="I168" s="1">
        <v>22</v>
      </c>
      <c r="J168" s="1">
        <f t="shared" si="1"/>
        <v>-5</v>
      </c>
      <c r="K168" s="2">
        <v>4.4489010081571694</v>
      </c>
      <c r="L168" s="2">
        <v>6.6293272130629592</v>
      </c>
      <c r="M168" s="2">
        <v>10.028936947093291</v>
      </c>
      <c r="N168" s="2">
        <v>8.0089234347092866</v>
      </c>
      <c r="O168" s="2">
        <v>75.631317138671875</v>
      </c>
      <c r="P168" s="2">
        <v>112.69856262207031</v>
      </c>
      <c r="Q168" s="2">
        <v>170.49192810058594</v>
      </c>
      <c r="R168" s="2">
        <v>136.15169839005787</v>
      </c>
      <c r="S168" s="1">
        <v>24</v>
      </c>
      <c r="T168" s="1">
        <v>22</v>
      </c>
      <c r="U168" s="1">
        <v>162</v>
      </c>
      <c r="V168">
        <v>134.34969105293911</v>
      </c>
      <c r="W168">
        <v>1.6</v>
      </c>
      <c r="X168" s="2">
        <f>draft_board[[#This Row],[expected_ppg]]-draft_board[[#This Row],[median_ppg]]</f>
        <v>1.3795962216463273</v>
      </c>
      <c r="Y168">
        <v>15.4</v>
      </c>
      <c r="AB168"/>
      <c r="AG168"/>
      <c r="AK168"/>
      <c r="AL168"/>
      <c r="AM168"/>
      <c r="AO168"/>
    </row>
    <row r="169" spans="1:41" hidden="1" x14ac:dyDescent="0.2">
      <c r="A169" t="s">
        <v>469</v>
      </c>
      <c r="B169" t="s">
        <v>470</v>
      </c>
      <c r="C169" t="s">
        <v>84</v>
      </c>
      <c r="D169" t="s">
        <v>103</v>
      </c>
      <c r="E169" s="3">
        <v>453.66666670000001</v>
      </c>
      <c r="F169">
        <v>5</v>
      </c>
      <c r="G169" s="1">
        <v>33</v>
      </c>
      <c r="H169" s="1">
        <v>24</v>
      </c>
      <c r="I169" s="1">
        <v>23</v>
      </c>
      <c r="J169" s="1">
        <f t="shared" si="1"/>
        <v>-10</v>
      </c>
      <c r="K169" s="2">
        <v>4.4573400160845589</v>
      </c>
      <c r="L169" s="2">
        <v>6.5884592392865349</v>
      </c>
      <c r="M169" s="2">
        <v>10.265629487879137</v>
      </c>
      <c r="N169" s="2">
        <v>7.9050686998350912</v>
      </c>
      <c r="O169" s="2">
        <v>75.7747802734375</v>
      </c>
      <c r="P169" s="2">
        <v>112.00380706787109</v>
      </c>
      <c r="Q169" s="2">
        <v>174.51570129394531</v>
      </c>
      <c r="R169" s="2">
        <v>134.38616789719654</v>
      </c>
      <c r="S169" s="1">
        <v>23</v>
      </c>
      <c r="T169" s="1">
        <v>21</v>
      </c>
      <c r="U169" s="1">
        <v>166</v>
      </c>
      <c r="V169">
        <v>134.70275039146935</v>
      </c>
      <c r="W169">
        <v>1.3</v>
      </c>
      <c r="X169" s="2">
        <f>draft_board[[#This Row],[expected_ppg]]-draft_board[[#This Row],[median_ppg]]</f>
        <v>1.3166094605485563</v>
      </c>
      <c r="Y169">
        <v>15.7</v>
      </c>
      <c r="AB169"/>
      <c r="AG169"/>
      <c r="AK169"/>
      <c r="AL169"/>
      <c r="AM169"/>
      <c r="AO169"/>
    </row>
    <row r="170" spans="1:41" hidden="1" x14ac:dyDescent="0.2">
      <c r="A170" t="s">
        <v>511</v>
      </c>
      <c r="B170" t="s">
        <v>512</v>
      </c>
      <c r="C170" t="s">
        <v>32</v>
      </c>
      <c r="D170" t="s">
        <v>75</v>
      </c>
      <c r="E170" s="3"/>
      <c r="F170">
        <v>6</v>
      </c>
      <c r="H170" s="1">
        <v>57</v>
      </c>
      <c r="I170" s="1">
        <v>61</v>
      </c>
      <c r="J170" s="1">
        <f t="shared" si="1"/>
        <v>61</v>
      </c>
      <c r="K170" s="2">
        <v>4.1038400986615349</v>
      </c>
      <c r="L170" s="2">
        <v>6.3584724875057441</v>
      </c>
      <c r="M170" s="2">
        <v>9.6990401324103868</v>
      </c>
      <c r="N170" s="2">
        <v>7.9017256502415512</v>
      </c>
      <c r="O170" s="2">
        <v>69.765281677246094</v>
      </c>
      <c r="P170" s="2">
        <v>108.09403228759766</v>
      </c>
      <c r="Q170" s="2">
        <v>164.88368225097656</v>
      </c>
      <c r="R170" s="2">
        <v>134.32933605410636</v>
      </c>
      <c r="S170" s="1">
        <v>60</v>
      </c>
      <c r="T170" s="1">
        <v>62</v>
      </c>
      <c r="U170" s="1">
        <v>167</v>
      </c>
      <c r="V170">
        <v>130.58282903779536</v>
      </c>
      <c r="W170">
        <v>1</v>
      </c>
      <c r="X170" s="2">
        <f>draft_board[[#This Row],[expected_ppg]]-draft_board[[#This Row],[median_ppg]]</f>
        <v>1.543253162735807</v>
      </c>
      <c r="Y170">
        <v>16</v>
      </c>
      <c r="AB170"/>
      <c r="AG170"/>
      <c r="AK170"/>
      <c r="AL170"/>
      <c r="AM170"/>
      <c r="AO170"/>
    </row>
    <row r="171" spans="1:41" hidden="1" x14ac:dyDescent="0.2">
      <c r="A171" s="8" t="s">
        <v>162</v>
      </c>
      <c r="B171" s="8" t="s">
        <v>163</v>
      </c>
      <c r="C171" s="8" t="s">
        <v>25</v>
      </c>
      <c r="D171" s="8" t="s">
        <v>91</v>
      </c>
      <c r="E171" s="10">
        <v>56.25</v>
      </c>
      <c r="F171" s="8">
        <v>6</v>
      </c>
      <c r="G171" s="9">
        <v>23</v>
      </c>
      <c r="H171" s="9">
        <v>40</v>
      </c>
      <c r="I171" s="9">
        <v>37</v>
      </c>
      <c r="J171" s="9">
        <f t="shared" si="1"/>
        <v>14</v>
      </c>
      <c r="K171" s="11">
        <v>4.4566470875459556</v>
      </c>
      <c r="L171" s="11">
        <v>7.2284640143899352</v>
      </c>
      <c r="M171" s="11">
        <v>10.703074735753676</v>
      </c>
      <c r="N171" s="11">
        <v>7.8956845363180701</v>
      </c>
      <c r="O171" s="11">
        <v>75.76300048828125</v>
      </c>
      <c r="P171" s="11">
        <v>122.88388824462891</v>
      </c>
      <c r="Q171" s="11">
        <v>181.9522705078125</v>
      </c>
      <c r="R171" s="11">
        <v>134.22663711740719</v>
      </c>
      <c r="S171" s="9">
        <v>42</v>
      </c>
      <c r="T171" s="9">
        <v>37</v>
      </c>
      <c r="U171" s="9">
        <v>168</v>
      </c>
      <c r="V171" s="8">
        <v>136.85159980870361</v>
      </c>
      <c r="W171" s="8">
        <v>1.9</v>
      </c>
      <c r="X171" s="11">
        <f>draft_board[[#This Row],[expected_ppg]]-draft_board[[#This Row],[median_ppg]]</f>
        <v>0.66722052192813486</v>
      </c>
      <c r="Y171" s="8">
        <v>15.1</v>
      </c>
      <c r="AB171"/>
      <c r="AG171"/>
      <c r="AK171"/>
      <c r="AL171"/>
      <c r="AM171"/>
      <c r="AO171"/>
    </row>
    <row r="172" spans="1:41" hidden="1" x14ac:dyDescent="0.2">
      <c r="A172" t="s">
        <v>269</v>
      </c>
      <c r="B172" t="s">
        <v>270</v>
      </c>
      <c r="C172" t="s">
        <v>25</v>
      </c>
      <c r="D172" t="s">
        <v>156</v>
      </c>
      <c r="E172" s="3">
        <v>127</v>
      </c>
      <c r="F172">
        <v>6</v>
      </c>
      <c r="G172" s="1">
        <v>40</v>
      </c>
      <c r="H172" s="1">
        <v>41</v>
      </c>
      <c r="I172" s="1">
        <v>40</v>
      </c>
      <c r="J172" s="1">
        <f t="shared" si="1"/>
        <v>0</v>
      </c>
      <c r="K172" s="2">
        <v>5.3868408203125</v>
      </c>
      <c r="L172" s="2">
        <v>7.0386316636029411</v>
      </c>
      <c r="M172" s="2">
        <v>10.35923408059513</v>
      </c>
      <c r="N172" s="2">
        <v>7.8466502860896625</v>
      </c>
      <c r="O172" s="2">
        <v>91.5762939453125</v>
      </c>
      <c r="P172" s="2">
        <v>119.65673828125</v>
      </c>
      <c r="Q172" s="2">
        <v>176.10697937011719</v>
      </c>
      <c r="R172" s="2">
        <v>133.39305486352427</v>
      </c>
      <c r="S172" s="1">
        <v>38</v>
      </c>
      <c r="T172" s="1">
        <v>42</v>
      </c>
      <c r="U172" s="1">
        <v>169</v>
      </c>
      <c r="V172">
        <v>137.84388003185981</v>
      </c>
      <c r="W172">
        <v>1.2</v>
      </c>
      <c r="X172" s="2">
        <f>draft_board[[#This Row],[expected_ppg]]-draft_board[[#This Row],[median_ppg]]</f>
        <v>0.80801862248672141</v>
      </c>
      <c r="Y172">
        <v>15.8</v>
      </c>
      <c r="AB172"/>
      <c r="AG172"/>
      <c r="AK172"/>
      <c r="AL172"/>
      <c r="AM172"/>
      <c r="AO172"/>
    </row>
    <row r="173" spans="1:41" hidden="1" x14ac:dyDescent="0.2">
      <c r="A173" t="s">
        <v>467</v>
      </c>
      <c r="B173" t="s">
        <v>468</v>
      </c>
      <c r="C173" t="s">
        <v>32</v>
      </c>
      <c r="D173" t="s">
        <v>220</v>
      </c>
      <c r="E173" s="3">
        <v>444</v>
      </c>
      <c r="F173">
        <v>6</v>
      </c>
      <c r="G173" s="1">
        <v>99</v>
      </c>
      <c r="H173" s="1">
        <v>58</v>
      </c>
      <c r="I173" s="1">
        <v>60</v>
      </c>
      <c r="J173" s="1">
        <f t="shared" si="1"/>
        <v>-39</v>
      </c>
      <c r="K173" s="2">
        <v>3.759789186365464</v>
      </c>
      <c r="L173" s="2">
        <v>6.771775638355928</v>
      </c>
      <c r="M173" s="2">
        <v>10.499141917509192</v>
      </c>
      <c r="N173" s="2">
        <v>7.8364853970955819</v>
      </c>
      <c r="O173" s="2">
        <v>63.916416168212891</v>
      </c>
      <c r="P173" s="2">
        <v>115.12018585205078</v>
      </c>
      <c r="Q173" s="2">
        <v>178.48541259765625</v>
      </c>
      <c r="R173" s="2">
        <v>133.2202517506249</v>
      </c>
      <c r="S173" s="1">
        <v>62</v>
      </c>
      <c r="T173" s="1">
        <v>53</v>
      </c>
      <c r="U173" s="1">
        <v>170</v>
      </c>
      <c r="V173">
        <v>132.93903288825192</v>
      </c>
      <c r="W173">
        <v>1</v>
      </c>
      <c r="X173" s="2">
        <f>draft_board[[#This Row],[expected_ppg]]-draft_board[[#This Row],[median_ppg]]</f>
        <v>1.0647097587396539</v>
      </c>
      <c r="Y173">
        <v>16</v>
      </c>
      <c r="AB173"/>
      <c r="AG173"/>
      <c r="AK173"/>
      <c r="AL173"/>
      <c r="AM173"/>
      <c r="AO173"/>
    </row>
    <row r="174" spans="1:41" hidden="1" x14ac:dyDescent="0.2">
      <c r="A174" t="s">
        <v>517</v>
      </c>
      <c r="B174" t="s">
        <v>518</v>
      </c>
      <c r="C174" t="s">
        <v>25</v>
      </c>
      <c r="D174" t="s">
        <v>100</v>
      </c>
      <c r="E174" s="3"/>
      <c r="F174">
        <v>6</v>
      </c>
      <c r="H174" s="1">
        <v>42</v>
      </c>
      <c r="I174" s="1">
        <v>47</v>
      </c>
      <c r="J174" s="1">
        <f t="shared" si="1"/>
        <v>47</v>
      </c>
      <c r="K174" s="2">
        <v>4.1783581901999085</v>
      </c>
      <c r="L174" s="2">
        <v>5.7528955796185661</v>
      </c>
      <c r="M174" s="2">
        <v>9.4468904383042283</v>
      </c>
      <c r="N174" s="2">
        <v>7.8206163943709575</v>
      </c>
      <c r="O174" s="2">
        <v>71.032089233398438</v>
      </c>
      <c r="P174" s="2">
        <v>97.799224853515625</v>
      </c>
      <c r="Q174" s="2">
        <v>160.59713745117188</v>
      </c>
      <c r="R174" s="2">
        <v>132.95047870430628</v>
      </c>
      <c r="S174" s="1">
        <v>44</v>
      </c>
      <c r="T174" s="1">
        <v>45</v>
      </c>
      <c r="U174" s="1">
        <v>171</v>
      </c>
      <c r="V174">
        <v>128.8607984341844</v>
      </c>
      <c r="W174">
        <v>1</v>
      </c>
      <c r="X174" s="2">
        <f>draft_board[[#This Row],[expected_ppg]]-draft_board[[#This Row],[median_ppg]]</f>
        <v>2.0677208147523913</v>
      </c>
      <c r="Y174">
        <v>16</v>
      </c>
      <c r="AB174"/>
      <c r="AG174"/>
      <c r="AK174"/>
      <c r="AL174"/>
      <c r="AM174"/>
      <c r="AO174"/>
    </row>
    <row r="175" spans="1:41" hidden="1" x14ac:dyDescent="0.2">
      <c r="A175" t="s">
        <v>407</v>
      </c>
      <c r="B175" t="s">
        <v>408</v>
      </c>
      <c r="C175" t="s">
        <v>25</v>
      </c>
      <c r="D175" t="s">
        <v>85</v>
      </c>
      <c r="E175" s="3">
        <v>283</v>
      </c>
      <c r="F175">
        <v>6</v>
      </c>
      <c r="G175" s="1">
        <v>81</v>
      </c>
      <c r="H175" s="1">
        <v>43</v>
      </c>
      <c r="I175" s="1">
        <v>38</v>
      </c>
      <c r="J175" s="1">
        <f t="shared" si="1"/>
        <v>-43</v>
      </c>
      <c r="K175" s="2">
        <v>3.5434065426097199</v>
      </c>
      <c r="L175" s="2">
        <v>7.2163925170898438</v>
      </c>
      <c r="M175" s="2">
        <v>11.573577880859375</v>
      </c>
      <c r="N175" s="2">
        <v>7.6593037864435205</v>
      </c>
      <c r="O175" s="2">
        <v>60.237911224365234</v>
      </c>
      <c r="P175" s="2">
        <v>122.67867279052734</v>
      </c>
      <c r="Q175" s="2">
        <v>196.75082397460938</v>
      </c>
      <c r="R175" s="2">
        <v>130.20816436953984</v>
      </c>
      <c r="S175" s="1">
        <v>46</v>
      </c>
      <c r="T175" s="1">
        <v>30</v>
      </c>
      <c r="U175" s="1">
        <v>173</v>
      </c>
      <c r="V175">
        <v>136.17691162202578</v>
      </c>
      <c r="W175">
        <v>0.3</v>
      </c>
      <c r="X175" s="2">
        <f>draft_board[[#This Row],[expected_ppg]]-draft_board[[#This Row],[median_ppg]]</f>
        <v>0.44291126935367675</v>
      </c>
      <c r="Y175">
        <v>16.7</v>
      </c>
      <c r="AB175"/>
      <c r="AG175"/>
      <c r="AK175"/>
      <c r="AL175"/>
      <c r="AM175"/>
      <c r="AO175"/>
    </row>
    <row r="176" spans="1:41" hidden="1" x14ac:dyDescent="0.2">
      <c r="A176" t="s">
        <v>321</v>
      </c>
      <c r="B176" t="s">
        <v>322</v>
      </c>
      <c r="C176" t="s">
        <v>25</v>
      </c>
      <c r="D176" t="s">
        <v>159</v>
      </c>
      <c r="E176" s="3">
        <v>181.25</v>
      </c>
      <c r="F176">
        <v>6</v>
      </c>
      <c r="G176" s="1">
        <v>52</v>
      </c>
      <c r="H176" s="1">
        <v>44</v>
      </c>
      <c r="I176" s="1">
        <v>57</v>
      </c>
      <c r="J176" s="1">
        <f t="shared" si="1"/>
        <v>5</v>
      </c>
      <c r="K176" s="2">
        <v>3.0623357436236214</v>
      </c>
      <c r="L176" s="2">
        <v>5.2353582943187043</v>
      </c>
      <c r="M176" s="2">
        <v>8.7153194651884185</v>
      </c>
      <c r="N176" s="2">
        <v>7.5636731500371885</v>
      </c>
      <c r="O176" s="2">
        <v>52.059707641601562</v>
      </c>
      <c r="P176" s="2">
        <v>89.001091003417969</v>
      </c>
      <c r="Q176" s="2">
        <v>148.16043090820312</v>
      </c>
      <c r="R176" s="2">
        <v>128.58244355063221</v>
      </c>
      <c r="S176" s="1">
        <v>50</v>
      </c>
      <c r="T176" s="1">
        <v>49</v>
      </c>
      <c r="U176" s="1">
        <v>175</v>
      </c>
      <c r="V176">
        <v>119.15129257609735</v>
      </c>
      <c r="W176">
        <v>1</v>
      </c>
      <c r="X176" s="2">
        <f>draft_board[[#This Row],[expected_ppg]]-draft_board[[#This Row],[median_ppg]]</f>
        <v>2.3283148557184843</v>
      </c>
      <c r="Y176">
        <v>16</v>
      </c>
      <c r="AB176"/>
      <c r="AG176"/>
      <c r="AK176"/>
      <c r="AL176"/>
      <c r="AM176"/>
      <c r="AO176"/>
    </row>
    <row r="177" spans="1:41" hidden="1" x14ac:dyDescent="0.2">
      <c r="A177" t="s">
        <v>257</v>
      </c>
      <c r="B177" t="s">
        <v>258</v>
      </c>
      <c r="C177" t="s">
        <v>25</v>
      </c>
      <c r="D177" t="s">
        <v>36</v>
      </c>
      <c r="E177" s="3">
        <v>115</v>
      </c>
      <c r="F177">
        <v>6</v>
      </c>
      <c r="G177" s="1">
        <v>37</v>
      </c>
      <c r="H177" s="1">
        <v>45</v>
      </c>
      <c r="I177" s="1">
        <v>42</v>
      </c>
      <c r="J177" s="1">
        <f t="shared" si="1"/>
        <v>5</v>
      </c>
      <c r="K177" s="2">
        <v>4.4553168801700371</v>
      </c>
      <c r="L177" s="2">
        <v>6.963850582347197</v>
      </c>
      <c r="M177" s="2">
        <v>9.3523496740004592</v>
      </c>
      <c r="N177" s="2">
        <v>7.5568213814282368</v>
      </c>
      <c r="O177" s="2">
        <v>75.740386962890625</v>
      </c>
      <c r="P177" s="2">
        <v>118.38545989990234</v>
      </c>
      <c r="Q177" s="2">
        <v>158.98994445800781</v>
      </c>
      <c r="R177" s="2">
        <v>128.46596348428002</v>
      </c>
      <c r="S177" s="1">
        <v>43</v>
      </c>
      <c r="T177" s="1">
        <v>46</v>
      </c>
      <c r="U177" s="1">
        <v>176</v>
      </c>
      <c r="V177">
        <v>127.07804247212049</v>
      </c>
      <c r="W177">
        <v>0.6</v>
      </c>
      <c r="X177" s="2">
        <f>draft_board[[#This Row],[expected_ppg]]-draft_board[[#This Row],[median_ppg]]</f>
        <v>0.59297079908103978</v>
      </c>
      <c r="Y177">
        <v>16.399999999999999</v>
      </c>
      <c r="AB177"/>
      <c r="AG177"/>
      <c r="AK177"/>
      <c r="AL177"/>
      <c r="AM177"/>
      <c r="AO177"/>
    </row>
    <row r="178" spans="1:41" hidden="1" x14ac:dyDescent="0.2">
      <c r="A178" t="s">
        <v>265</v>
      </c>
      <c r="B178" t="s">
        <v>266</v>
      </c>
      <c r="C178" t="s">
        <v>25</v>
      </c>
      <c r="D178" t="s">
        <v>56</v>
      </c>
      <c r="E178" s="3">
        <v>120</v>
      </c>
      <c r="F178">
        <v>6</v>
      </c>
      <c r="G178" s="1">
        <v>39</v>
      </c>
      <c r="H178" s="1">
        <v>46</v>
      </c>
      <c r="I178" s="1">
        <v>44</v>
      </c>
      <c r="J178" s="1">
        <f t="shared" si="1"/>
        <v>5</v>
      </c>
      <c r="K178" s="2">
        <v>5.0005515603458184</v>
      </c>
      <c r="L178" s="2">
        <v>6.3351718678193931</v>
      </c>
      <c r="M178" s="2">
        <v>8.7072924445657165</v>
      </c>
      <c r="N178" s="2">
        <v>7.4200632489404432</v>
      </c>
      <c r="O178" s="2">
        <v>85.009376525878906</v>
      </c>
      <c r="P178" s="2">
        <v>107.69792175292969</v>
      </c>
      <c r="Q178" s="2">
        <v>148.02397155761719</v>
      </c>
      <c r="R178" s="2">
        <v>126.14107523198753</v>
      </c>
      <c r="S178" s="1">
        <v>40</v>
      </c>
      <c r="T178" s="1">
        <v>50</v>
      </c>
      <c r="U178" s="1">
        <v>178</v>
      </c>
      <c r="V178">
        <v>124.4796043884547</v>
      </c>
      <c r="W178">
        <v>1.9</v>
      </c>
      <c r="X178" s="2">
        <f>draft_board[[#This Row],[expected_ppg]]-draft_board[[#This Row],[median_ppg]]</f>
        <v>1.0848913811210501</v>
      </c>
      <c r="Y178">
        <v>15.1</v>
      </c>
      <c r="AB178"/>
      <c r="AG178"/>
      <c r="AK178"/>
      <c r="AL178"/>
      <c r="AM178"/>
      <c r="AO178"/>
    </row>
    <row r="179" spans="1:41" hidden="1" x14ac:dyDescent="0.2">
      <c r="A179" t="s">
        <v>519</v>
      </c>
      <c r="B179" t="s">
        <v>520</v>
      </c>
      <c r="C179" t="s">
        <v>32</v>
      </c>
      <c r="D179" t="s">
        <v>126</v>
      </c>
      <c r="E179" s="3"/>
      <c r="F179">
        <v>6</v>
      </c>
      <c r="H179" s="1">
        <v>59</v>
      </c>
      <c r="I179" s="1">
        <v>58</v>
      </c>
      <c r="J179" s="1">
        <f t="shared" si="1"/>
        <v>58</v>
      </c>
      <c r="K179" s="2">
        <v>4.1302503698012405</v>
      </c>
      <c r="L179" s="2">
        <v>6.9831650677849266</v>
      </c>
      <c r="M179" s="2">
        <v>10.008532355813418</v>
      </c>
      <c r="N179" s="2">
        <v>7.4068069779045071</v>
      </c>
      <c r="O179" s="2">
        <v>70.214256286621094</v>
      </c>
      <c r="P179" s="2">
        <v>118.71380615234375</v>
      </c>
      <c r="Q179" s="2">
        <v>170.14505004882812</v>
      </c>
      <c r="R179" s="2">
        <v>125.91571862437662</v>
      </c>
      <c r="S179" s="1">
        <v>59</v>
      </c>
      <c r="T179" s="1">
        <v>58</v>
      </c>
      <c r="U179" s="1">
        <v>179</v>
      </c>
      <c r="V179">
        <v>128.04422558416098</v>
      </c>
      <c r="W179">
        <v>1.3</v>
      </c>
      <c r="X179" s="2">
        <f>draft_board[[#This Row],[expected_ppg]]-draft_board[[#This Row],[median_ppg]]</f>
        <v>0.42364191011958052</v>
      </c>
      <c r="Y179">
        <v>15.7</v>
      </c>
      <c r="AB179"/>
      <c r="AG179"/>
      <c r="AK179"/>
      <c r="AL179"/>
      <c r="AM179"/>
      <c r="AO179"/>
    </row>
    <row r="180" spans="1:41" hidden="1" x14ac:dyDescent="0.2">
      <c r="A180" t="s">
        <v>337</v>
      </c>
      <c r="B180" t="s">
        <v>338</v>
      </c>
      <c r="C180" t="s">
        <v>32</v>
      </c>
      <c r="D180" t="s">
        <v>134</v>
      </c>
      <c r="E180" s="3">
        <v>201.75</v>
      </c>
      <c r="F180">
        <v>6</v>
      </c>
      <c r="G180" s="1">
        <v>60</v>
      </c>
      <c r="H180" s="1">
        <v>60</v>
      </c>
      <c r="I180" s="1">
        <v>69</v>
      </c>
      <c r="J180" s="1">
        <f t="shared" si="1"/>
        <v>9</v>
      </c>
      <c r="K180" s="2">
        <v>2.5726666170008041</v>
      </c>
      <c r="L180" s="2">
        <v>5.8125031415153954</v>
      </c>
      <c r="M180" s="2">
        <v>9.990079991957721</v>
      </c>
      <c r="N180" s="2">
        <v>7.3475728341204025</v>
      </c>
      <c r="O180" s="2">
        <v>43.735332489013672</v>
      </c>
      <c r="P180" s="2">
        <v>98.812553405761719</v>
      </c>
      <c r="Q180" s="2">
        <v>169.83135986328125</v>
      </c>
      <c r="R180" s="2">
        <v>124.90873818004684</v>
      </c>
      <c r="S180" s="1">
        <v>85</v>
      </c>
      <c r="T180" s="1">
        <v>60</v>
      </c>
      <c r="U180" s="1">
        <v>180</v>
      </c>
      <c r="V180">
        <v>122.15084354681053</v>
      </c>
      <c r="W180">
        <v>1.9</v>
      </c>
      <c r="X180" s="2">
        <f>draft_board[[#This Row],[expected_ppg]]-draft_board[[#This Row],[median_ppg]]</f>
        <v>1.5350696926050071</v>
      </c>
      <c r="Y180">
        <v>15.1</v>
      </c>
      <c r="AB180"/>
      <c r="AG180"/>
      <c r="AK180"/>
      <c r="AL180"/>
      <c r="AM180"/>
      <c r="AO180"/>
    </row>
    <row r="181" spans="1:41" hidden="1" x14ac:dyDescent="0.2">
      <c r="A181" t="s">
        <v>335</v>
      </c>
      <c r="B181" t="s">
        <v>336</v>
      </c>
      <c r="C181" t="s">
        <v>84</v>
      </c>
      <c r="D181" t="s">
        <v>56</v>
      </c>
      <c r="E181" s="3">
        <v>194</v>
      </c>
      <c r="F181">
        <v>5</v>
      </c>
      <c r="G181" s="1">
        <v>20</v>
      </c>
      <c r="H181" s="1">
        <v>25</v>
      </c>
      <c r="I181" s="1">
        <v>25</v>
      </c>
      <c r="J181" s="1">
        <f t="shared" si="1"/>
        <v>5</v>
      </c>
      <c r="K181" s="2">
        <v>4.2339903887580421</v>
      </c>
      <c r="L181" s="2">
        <v>6.4018191169289977</v>
      </c>
      <c r="M181" s="2">
        <v>8.9665419634650743</v>
      </c>
      <c r="N181" s="2">
        <v>7.300757747710259</v>
      </c>
      <c r="O181" s="2">
        <v>71.977836608886719</v>
      </c>
      <c r="P181" s="2">
        <v>108.83092498779297</v>
      </c>
      <c r="Q181" s="2">
        <v>152.43121337890625</v>
      </c>
      <c r="R181" s="2">
        <v>124.11288171107441</v>
      </c>
      <c r="S181" s="1">
        <v>25</v>
      </c>
      <c r="T181" s="1">
        <v>25</v>
      </c>
      <c r="U181" s="1">
        <v>182</v>
      </c>
      <c r="V181">
        <v>122.18137219098642</v>
      </c>
      <c r="W181">
        <v>2.9</v>
      </c>
      <c r="X181" s="2">
        <f>draft_board[[#This Row],[expected_ppg]]-draft_board[[#This Row],[median_ppg]]</f>
        <v>0.89893863078126124</v>
      </c>
      <c r="Y181">
        <v>14.1</v>
      </c>
      <c r="AB181"/>
      <c r="AG181"/>
      <c r="AK181"/>
      <c r="AL181"/>
      <c r="AM181"/>
      <c r="AO181"/>
    </row>
    <row r="182" spans="1:41" hidden="1" x14ac:dyDescent="0.2">
      <c r="A182" t="s">
        <v>363</v>
      </c>
      <c r="B182" t="s">
        <v>364</v>
      </c>
      <c r="C182" t="s">
        <v>32</v>
      </c>
      <c r="D182" t="s">
        <v>220</v>
      </c>
      <c r="E182" s="3">
        <v>237</v>
      </c>
      <c r="F182">
        <v>6</v>
      </c>
      <c r="G182" s="1">
        <v>68</v>
      </c>
      <c r="H182" s="1">
        <v>61</v>
      </c>
      <c r="I182" s="1">
        <v>52</v>
      </c>
      <c r="J182" s="1">
        <f t="shared" si="1"/>
        <v>-16</v>
      </c>
      <c r="K182" s="2">
        <v>3.6562724393956803</v>
      </c>
      <c r="L182" s="2">
        <v>7.7627832749310661</v>
      </c>
      <c r="M182" s="2">
        <v>11.731389662798714</v>
      </c>
      <c r="N182" s="2">
        <v>7.2173134134805457</v>
      </c>
      <c r="O182" s="2">
        <v>62.156631469726562</v>
      </c>
      <c r="P182" s="2">
        <v>131.96731567382812</v>
      </c>
      <c r="Q182" s="2">
        <v>199.43362426757812</v>
      </c>
      <c r="R182" s="2">
        <v>122.69432802916927</v>
      </c>
      <c r="S182" s="1">
        <v>65</v>
      </c>
      <c r="T182" s="1">
        <v>45</v>
      </c>
      <c r="U182" s="1">
        <v>184</v>
      </c>
      <c r="V182">
        <v>133.60857758880337</v>
      </c>
      <c r="W182">
        <v>3.7</v>
      </c>
      <c r="X182" s="2">
        <f>draft_board[[#This Row],[expected_ppg]]-draft_board[[#This Row],[median_ppg]]</f>
        <v>-0.54546986145052045</v>
      </c>
      <c r="Y182">
        <v>13.3</v>
      </c>
      <c r="AB182"/>
      <c r="AG182"/>
      <c r="AK182"/>
      <c r="AL182"/>
      <c r="AM182"/>
      <c r="AO182"/>
    </row>
    <row r="183" spans="1:41" hidden="1" x14ac:dyDescent="0.2">
      <c r="A183" t="s">
        <v>365</v>
      </c>
      <c r="B183" t="s">
        <v>366</v>
      </c>
      <c r="C183" t="s">
        <v>25</v>
      </c>
      <c r="D183" t="s">
        <v>85</v>
      </c>
      <c r="E183" s="3">
        <v>241</v>
      </c>
      <c r="F183">
        <v>6</v>
      </c>
      <c r="G183" s="1">
        <v>64</v>
      </c>
      <c r="H183" s="1">
        <v>47</v>
      </c>
      <c r="I183" s="1">
        <v>34</v>
      </c>
      <c r="J183" s="1">
        <f t="shared" si="1"/>
        <v>-30</v>
      </c>
      <c r="K183" s="2">
        <v>2.9281315523035385</v>
      </c>
      <c r="L183" s="2">
        <v>7.7999052159926467</v>
      </c>
      <c r="M183" s="2">
        <v>11.605088177849264</v>
      </c>
      <c r="N183" s="2">
        <v>7.2134196349936026</v>
      </c>
      <c r="O183" s="2">
        <v>49.778236389160156</v>
      </c>
      <c r="P183" s="2">
        <v>132.598388671875</v>
      </c>
      <c r="Q183" s="2">
        <v>197.2864990234375</v>
      </c>
      <c r="R183" s="2">
        <v>122.62813379489124</v>
      </c>
      <c r="S183" s="1">
        <v>53</v>
      </c>
      <c r="T183" s="1">
        <v>29</v>
      </c>
      <c r="U183" s="1">
        <v>185</v>
      </c>
      <c r="V183">
        <v>130.4556638823089</v>
      </c>
      <c r="W183">
        <v>1.3</v>
      </c>
      <c r="X183" s="2">
        <f>draft_board[[#This Row],[expected_ppg]]-draft_board[[#This Row],[median_ppg]]</f>
        <v>-0.58648558099904413</v>
      </c>
      <c r="Y183">
        <v>15.7</v>
      </c>
      <c r="AB183"/>
      <c r="AG183"/>
      <c r="AK183"/>
      <c r="AL183"/>
      <c r="AM183"/>
      <c r="AO183"/>
    </row>
    <row r="184" spans="1:41" hidden="1" x14ac:dyDescent="0.2">
      <c r="A184" t="s">
        <v>523</v>
      </c>
      <c r="B184" t="s">
        <v>524</v>
      </c>
      <c r="C184" t="s">
        <v>32</v>
      </c>
      <c r="D184" t="s">
        <v>75</v>
      </c>
      <c r="E184" s="3"/>
      <c r="F184">
        <v>6</v>
      </c>
      <c r="H184" s="1">
        <v>62</v>
      </c>
      <c r="I184" s="1">
        <v>67</v>
      </c>
      <c r="J184" s="1">
        <f t="shared" si="1"/>
        <v>67</v>
      </c>
      <c r="K184" s="2">
        <v>3.6927582235897289</v>
      </c>
      <c r="L184" s="2">
        <v>6.1288761812097885</v>
      </c>
      <c r="M184" s="2">
        <v>8.8750260296989882</v>
      </c>
      <c r="N184" s="2">
        <v>7.2074405513551296</v>
      </c>
      <c r="O184" s="2">
        <v>62.776889801025391</v>
      </c>
      <c r="P184" s="2">
        <v>104.19089508056641</v>
      </c>
      <c r="Q184" s="2">
        <v>150.87544250488281</v>
      </c>
      <c r="R184" s="2">
        <v>122.52648937303721</v>
      </c>
      <c r="S184" s="1">
        <v>64</v>
      </c>
      <c r="T184" s="1">
        <v>69</v>
      </c>
      <c r="U184" s="1">
        <v>186</v>
      </c>
      <c r="V184">
        <v>119.08125539818852</v>
      </c>
      <c r="W184">
        <v>1</v>
      </c>
      <c r="X184" s="2">
        <f>draft_board[[#This Row],[expected_ppg]]-draft_board[[#This Row],[median_ppg]]</f>
        <v>1.0785643701453411</v>
      </c>
      <c r="Y184">
        <v>16</v>
      </c>
      <c r="AB184"/>
      <c r="AG184"/>
      <c r="AK184"/>
      <c r="AL184"/>
      <c r="AM184"/>
      <c r="AO184"/>
    </row>
    <row r="185" spans="1:41" hidden="1" x14ac:dyDescent="0.2">
      <c r="A185" t="s">
        <v>471</v>
      </c>
      <c r="B185" t="s">
        <v>472</v>
      </c>
      <c r="C185" t="s">
        <v>32</v>
      </c>
      <c r="D185" t="s">
        <v>103</v>
      </c>
      <c r="E185" s="3">
        <v>482</v>
      </c>
      <c r="F185">
        <v>6</v>
      </c>
      <c r="G185" s="1">
        <v>101</v>
      </c>
      <c r="H185" s="1">
        <v>63</v>
      </c>
      <c r="I185" s="1">
        <v>59</v>
      </c>
      <c r="J185" s="1">
        <f t="shared" si="1"/>
        <v>-42</v>
      </c>
      <c r="K185" s="2">
        <v>4.3487885419060204</v>
      </c>
      <c r="L185" s="2">
        <v>6.9393714455997246</v>
      </c>
      <c r="M185" s="2">
        <v>10.27974297018612</v>
      </c>
      <c r="N185" s="2">
        <v>7.1725868242319351</v>
      </c>
      <c r="O185" s="2">
        <v>73.929405212402344</v>
      </c>
      <c r="P185" s="2">
        <v>117.96931457519531</v>
      </c>
      <c r="Q185" s="2">
        <v>174.75563049316406</v>
      </c>
      <c r="R185" s="2">
        <v>121.93397601194289</v>
      </c>
      <c r="S185" s="1">
        <v>56</v>
      </c>
      <c r="T185" s="1">
        <v>55</v>
      </c>
      <c r="U185" s="1">
        <v>187</v>
      </c>
      <c r="V185">
        <v>128.17955819640113</v>
      </c>
      <c r="W185">
        <v>3.3</v>
      </c>
      <c r="X185" s="2">
        <f>draft_board[[#This Row],[expected_ppg]]-draft_board[[#This Row],[median_ppg]]</f>
        <v>0.23321537863221042</v>
      </c>
      <c r="Y185">
        <v>13.7</v>
      </c>
      <c r="AB185"/>
      <c r="AG185"/>
      <c r="AK185"/>
      <c r="AL185"/>
      <c r="AM185"/>
      <c r="AO185"/>
    </row>
    <row r="186" spans="1:41" hidden="1" x14ac:dyDescent="0.2">
      <c r="A186" t="s">
        <v>527</v>
      </c>
      <c r="B186" t="s">
        <v>528</v>
      </c>
      <c r="C186" t="s">
        <v>32</v>
      </c>
      <c r="D186" t="s">
        <v>103</v>
      </c>
      <c r="E186" s="3"/>
      <c r="F186">
        <v>6</v>
      </c>
      <c r="H186" s="1">
        <v>64</v>
      </c>
      <c r="I186" s="1">
        <v>73</v>
      </c>
      <c r="J186" s="1">
        <f t="shared" si="1"/>
        <v>73</v>
      </c>
      <c r="K186" s="2">
        <v>3.3895440943100872</v>
      </c>
      <c r="L186" s="2">
        <v>5.686111898983226</v>
      </c>
      <c r="M186" s="2">
        <v>8.6014637666590072</v>
      </c>
      <c r="N186" s="2">
        <v>7.1110902391143282</v>
      </c>
      <c r="O186" s="2">
        <v>57.622249603271484</v>
      </c>
      <c r="P186" s="2">
        <v>96.663902282714844</v>
      </c>
      <c r="Q186" s="2">
        <v>146.22488403320312</v>
      </c>
      <c r="R186" s="2">
        <v>120.88853406494358</v>
      </c>
      <c r="S186" s="1">
        <v>69</v>
      </c>
      <c r="T186" s="1">
        <v>71</v>
      </c>
      <c r="U186" s="1">
        <v>188</v>
      </c>
      <c r="V186">
        <v>115.83618216308702</v>
      </c>
      <c r="W186">
        <v>2.4</v>
      </c>
      <c r="X186" s="2">
        <f>draft_board[[#This Row],[expected_ppg]]-draft_board[[#This Row],[median_ppg]]</f>
        <v>1.4249783401311023</v>
      </c>
      <c r="Y186">
        <v>14.6</v>
      </c>
      <c r="AB186"/>
      <c r="AG186"/>
      <c r="AK186"/>
      <c r="AL186"/>
      <c r="AM186"/>
      <c r="AO186"/>
    </row>
    <row r="187" spans="1:41" hidden="1" x14ac:dyDescent="0.2">
      <c r="A187" t="s">
        <v>309</v>
      </c>
      <c r="B187" t="s">
        <v>310</v>
      </c>
      <c r="C187" t="s">
        <v>32</v>
      </c>
      <c r="D187" t="s">
        <v>126</v>
      </c>
      <c r="E187" s="3">
        <v>171</v>
      </c>
      <c r="F187">
        <v>6</v>
      </c>
      <c r="G187" s="1">
        <v>57</v>
      </c>
      <c r="H187" s="1">
        <v>65</v>
      </c>
      <c r="I187" s="1">
        <v>83</v>
      </c>
      <c r="J187" s="1">
        <f t="shared" si="1"/>
        <v>26</v>
      </c>
      <c r="K187" s="2">
        <v>3.4649696350097656</v>
      </c>
      <c r="L187" s="2">
        <v>5.0385715260225181</v>
      </c>
      <c r="M187" s="2">
        <v>8.573947682100183</v>
      </c>
      <c r="N187" s="2">
        <v>7.0662593993107539</v>
      </c>
      <c r="O187" s="2">
        <v>58.904483795166016</v>
      </c>
      <c r="P187" s="2">
        <v>85.655715942382812</v>
      </c>
      <c r="Q187" s="2">
        <v>145.75711059570312</v>
      </c>
      <c r="R187" s="2">
        <v>120.12640978828281</v>
      </c>
      <c r="S187" s="1">
        <v>68</v>
      </c>
      <c r="T187" s="1">
        <v>73</v>
      </c>
      <c r="U187" s="1">
        <v>190</v>
      </c>
      <c r="V187">
        <v>115.57123483188553</v>
      </c>
      <c r="W187">
        <v>1.7</v>
      </c>
      <c r="X187" s="2">
        <f>draft_board[[#This Row],[expected_ppg]]-draft_board[[#This Row],[median_ppg]]</f>
        <v>2.0276878732882357</v>
      </c>
      <c r="Y187">
        <v>15.3</v>
      </c>
      <c r="AB187"/>
      <c r="AG187"/>
      <c r="AK187"/>
      <c r="AL187"/>
      <c r="AM187"/>
      <c r="AO187"/>
    </row>
    <row r="188" spans="1:41" hidden="1" x14ac:dyDescent="0.2">
      <c r="A188" t="s">
        <v>525</v>
      </c>
      <c r="B188" t="s">
        <v>526</v>
      </c>
      <c r="C188" t="s">
        <v>32</v>
      </c>
      <c r="D188" t="s">
        <v>62</v>
      </c>
      <c r="E188" s="3"/>
      <c r="F188">
        <v>6</v>
      </c>
      <c r="H188" s="1">
        <v>66</v>
      </c>
      <c r="I188" s="1">
        <v>71</v>
      </c>
      <c r="J188" s="1">
        <f t="shared" si="1"/>
        <v>71</v>
      </c>
      <c r="K188" s="2">
        <v>3.7406943826114429</v>
      </c>
      <c r="L188" s="2">
        <v>5.7016516292796418</v>
      </c>
      <c r="M188" s="2">
        <v>8.8596945369944855</v>
      </c>
      <c r="N188" s="2">
        <v>6.925063796162803</v>
      </c>
      <c r="O188" s="2">
        <v>63.591804504394531</v>
      </c>
      <c r="P188" s="2">
        <v>96.928077697753906</v>
      </c>
      <c r="Q188" s="2">
        <v>150.61480712890625</v>
      </c>
      <c r="R188" s="2">
        <v>117.72608453476765</v>
      </c>
      <c r="S188" s="1">
        <v>63</v>
      </c>
      <c r="T188" s="1">
        <v>70</v>
      </c>
      <c r="U188" s="1">
        <v>191</v>
      </c>
      <c r="V188">
        <v>116.76584530693461</v>
      </c>
      <c r="W188">
        <v>0.6</v>
      </c>
      <c r="X188" s="2">
        <f>draft_board[[#This Row],[expected_ppg]]-draft_board[[#This Row],[median_ppg]]</f>
        <v>1.2234121668831612</v>
      </c>
      <c r="Y188">
        <v>16.399999999999999</v>
      </c>
      <c r="AB188"/>
      <c r="AG188"/>
      <c r="AK188"/>
      <c r="AL188"/>
      <c r="AM188"/>
      <c r="AO188"/>
    </row>
    <row r="189" spans="1:41" hidden="1" x14ac:dyDescent="0.2">
      <c r="A189" t="s">
        <v>389</v>
      </c>
      <c r="B189" t="s">
        <v>390</v>
      </c>
      <c r="C189" t="s">
        <v>32</v>
      </c>
      <c r="D189" t="s">
        <v>59</v>
      </c>
      <c r="E189" s="3">
        <v>268.25</v>
      </c>
      <c r="F189">
        <v>6</v>
      </c>
      <c r="G189" s="1">
        <v>74</v>
      </c>
      <c r="H189" s="1">
        <v>67</v>
      </c>
      <c r="I189" s="1">
        <v>64</v>
      </c>
      <c r="J189" s="1">
        <f t="shared" si="1"/>
        <v>-10</v>
      </c>
      <c r="K189" s="2">
        <v>3.5189992119284237</v>
      </c>
      <c r="L189" s="2">
        <v>6.2968350578756898</v>
      </c>
      <c r="M189" s="2">
        <v>9.6606499167049638</v>
      </c>
      <c r="N189" s="2">
        <v>6.8991221624437005</v>
      </c>
      <c r="O189" s="2">
        <v>59.822986602783203</v>
      </c>
      <c r="P189" s="2">
        <v>107.04619598388672</v>
      </c>
      <c r="Q189" s="2">
        <v>164.23104858398438</v>
      </c>
      <c r="R189" s="2">
        <v>117.28507676154291</v>
      </c>
      <c r="S189" s="1">
        <v>66</v>
      </c>
      <c r="T189" s="1">
        <v>63</v>
      </c>
      <c r="U189" s="1">
        <v>192</v>
      </c>
      <c r="V189">
        <v>119.8764502765234</v>
      </c>
      <c r="W189">
        <v>1</v>
      </c>
      <c r="X189" s="2">
        <f>draft_board[[#This Row],[expected_ppg]]-draft_board[[#This Row],[median_ppg]]</f>
        <v>0.60228710456801071</v>
      </c>
      <c r="Y189">
        <v>16</v>
      </c>
      <c r="AB189"/>
      <c r="AG189"/>
      <c r="AK189"/>
      <c r="AL189"/>
      <c r="AM189"/>
      <c r="AO189"/>
    </row>
    <row r="190" spans="1:41" hidden="1" x14ac:dyDescent="0.2">
      <c r="A190" t="s">
        <v>273</v>
      </c>
      <c r="B190" t="s">
        <v>274</v>
      </c>
      <c r="C190" t="s">
        <v>32</v>
      </c>
      <c r="D190" t="s">
        <v>119</v>
      </c>
      <c r="E190" s="3">
        <v>128.25</v>
      </c>
      <c r="F190">
        <v>6</v>
      </c>
      <c r="G190" s="1">
        <v>48</v>
      </c>
      <c r="H190" s="1">
        <v>68</v>
      </c>
      <c r="I190" s="1">
        <v>53</v>
      </c>
      <c r="J190" s="1">
        <f t="shared" si="1"/>
        <v>5</v>
      </c>
      <c r="K190" s="2">
        <v>3.821609048282399</v>
      </c>
      <c r="L190" s="2">
        <v>7.4724991742302391</v>
      </c>
      <c r="M190" s="2">
        <v>9.2693230124080888</v>
      </c>
      <c r="N190" s="2">
        <v>6.8332769693673718</v>
      </c>
      <c r="O190" s="2">
        <v>64.967353820800781</v>
      </c>
      <c r="P190" s="2">
        <v>127.03248596191406</v>
      </c>
      <c r="Q190" s="2">
        <v>157.5784912109375</v>
      </c>
      <c r="R190" s="2">
        <v>116.16570847924532</v>
      </c>
      <c r="S190" s="1">
        <v>61</v>
      </c>
      <c r="T190" s="1">
        <v>66</v>
      </c>
      <c r="U190" s="1">
        <v>193</v>
      </c>
      <c r="V190">
        <v>118.34987236706405</v>
      </c>
      <c r="W190">
        <v>0.9</v>
      </c>
      <c r="X190" s="2">
        <f>draft_board[[#This Row],[expected_ppg]]-draft_board[[#This Row],[median_ppg]]</f>
        <v>-0.63922220486286729</v>
      </c>
      <c r="Y190">
        <v>16.100000000000001</v>
      </c>
      <c r="AB190"/>
      <c r="AG190"/>
      <c r="AK190"/>
      <c r="AL190"/>
      <c r="AM190"/>
      <c r="AO190"/>
    </row>
    <row r="191" spans="1:41" hidden="1" x14ac:dyDescent="0.2">
      <c r="A191" t="s">
        <v>529</v>
      </c>
      <c r="B191" t="s">
        <v>530</v>
      </c>
      <c r="C191" t="s">
        <v>25</v>
      </c>
      <c r="D191" t="s">
        <v>85</v>
      </c>
      <c r="E191" s="3"/>
      <c r="H191" s="1">
        <v>48</v>
      </c>
      <c r="I191" s="1">
        <v>66</v>
      </c>
      <c r="J191" s="1">
        <f t="shared" si="1"/>
        <v>66</v>
      </c>
      <c r="K191" s="2">
        <v>2.0020413118250229</v>
      </c>
      <c r="L191" s="2">
        <v>4.4793647317325371</v>
      </c>
      <c r="M191" s="2">
        <v>9.5599257525275743</v>
      </c>
      <c r="N191" s="2">
        <v>6.8260700938068677</v>
      </c>
      <c r="O191" s="2">
        <v>34.034702301025391</v>
      </c>
      <c r="P191" s="2">
        <v>76.149200439453125</v>
      </c>
      <c r="Q191" s="2">
        <v>162.51873779296875</v>
      </c>
      <c r="R191" s="2">
        <v>116.04319159471675</v>
      </c>
      <c r="S191" s="1">
        <v>70</v>
      </c>
      <c r="T191" s="1">
        <v>44</v>
      </c>
      <c r="U191" s="1">
        <v>194</v>
      </c>
      <c r="V191">
        <v>113.58415759545409</v>
      </c>
      <c r="W191">
        <v>1</v>
      </c>
      <c r="X191" s="2">
        <f>draft_board[[#This Row],[expected_ppg]]-draft_board[[#This Row],[median_ppg]]</f>
        <v>2.3467053620743306</v>
      </c>
      <c r="Y191">
        <v>16</v>
      </c>
      <c r="AB191"/>
      <c r="AG191"/>
      <c r="AK191"/>
      <c r="AL191"/>
      <c r="AM191"/>
      <c r="AO191"/>
    </row>
    <row r="192" spans="1:41" hidden="1" x14ac:dyDescent="0.2">
      <c r="A192" t="s">
        <v>423</v>
      </c>
      <c r="B192" t="s">
        <v>424</v>
      </c>
      <c r="C192" t="s">
        <v>25</v>
      </c>
      <c r="D192" t="s">
        <v>100</v>
      </c>
      <c r="E192" s="3">
        <v>302.25</v>
      </c>
      <c r="G192" s="1">
        <v>87</v>
      </c>
      <c r="H192" s="1">
        <v>49</v>
      </c>
      <c r="I192" s="1">
        <v>49</v>
      </c>
      <c r="J192" s="1">
        <f t="shared" si="1"/>
        <v>-38</v>
      </c>
      <c r="K192" s="2">
        <v>3.0569442300235523</v>
      </c>
      <c r="L192" s="2">
        <v>5.5615750481100648</v>
      </c>
      <c r="M192" s="2">
        <v>9.204465978285846</v>
      </c>
      <c r="N192" s="2">
        <v>6.817143240493043</v>
      </c>
      <c r="O192" s="2">
        <v>51.968051910400391</v>
      </c>
      <c r="P192" s="2">
        <v>94.546775817871094</v>
      </c>
      <c r="Q192" s="2">
        <v>156.47592163085938</v>
      </c>
      <c r="R192" s="2">
        <v>115.89143508838173</v>
      </c>
      <c r="S192" s="1">
        <v>51</v>
      </c>
      <c r="T192" s="1">
        <v>48</v>
      </c>
      <c r="U192" s="1">
        <v>195</v>
      </c>
      <c r="V192">
        <v>115.28210441552875</v>
      </c>
      <c r="W192">
        <v>1</v>
      </c>
      <c r="X192" s="2">
        <f>draft_board[[#This Row],[expected_ppg]]-draft_board[[#This Row],[median_ppg]]</f>
        <v>1.2555681923829782</v>
      </c>
      <c r="Y192">
        <v>16</v>
      </c>
      <c r="AB192"/>
      <c r="AG192"/>
      <c r="AK192"/>
      <c r="AL192"/>
      <c r="AM192"/>
      <c r="AO192"/>
    </row>
    <row r="193" spans="1:41" hidden="1" x14ac:dyDescent="0.2">
      <c r="A193" t="s">
        <v>429</v>
      </c>
      <c r="B193" t="s">
        <v>430</v>
      </c>
      <c r="C193" t="s">
        <v>84</v>
      </c>
      <c r="D193" t="s">
        <v>59</v>
      </c>
      <c r="E193" s="3">
        <v>319</v>
      </c>
      <c r="F193">
        <v>5</v>
      </c>
      <c r="G193" s="1">
        <v>29</v>
      </c>
      <c r="H193" s="1">
        <v>26</v>
      </c>
      <c r="I193" s="1">
        <v>38</v>
      </c>
      <c r="J193" s="1">
        <f t="shared" si="1"/>
        <v>9</v>
      </c>
      <c r="K193" s="2">
        <v>3.5911102294921875</v>
      </c>
      <c r="L193" s="2">
        <v>4.6918182373046875</v>
      </c>
      <c r="M193" s="2">
        <v>8.315310309914981</v>
      </c>
      <c r="N193" s="2">
        <v>6.7635158796805905</v>
      </c>
      <c r="O193" s="2">
        <v>61.048873901367188</v>
      </c>
      <c r="P193" s="2">
        <v>79.760910034179688</v>
      </c>
      <c r="Q193" s="2">
        <v>141.36027526855469</v>
      </c>
      <c r="R193" s="2">
        <v>114.97976995457005</v>
      </c>
      <c r="S193" s="1">
        <v>30</v>
      </c>
      <c r="T193" s="1">
        <v>30</v>
      </c>
      <c r="U193" s="1">
        <v>196</v>
      </c>
      <c r="V193">
        <v>112.10774233812487</v>
      </c>
      <c r="W193">
        <v>0.3</v>
      </c>
      <c r="X193" s="2">
        <f>draft_board[[#This Row],[expected_ppg]]-draft_board[[#This Row],[median_ppg]]</f>
        <v>2.071697642375903</v>
      </c>
      <c r="Y193">
        <v>16.7</v>
      </c>
      <c r="AB193"/>
      <c r="AG193"/>
      <c r="AK193"/>
      <c r="AL193"/>
      <c r="AM193"/>
      <c r="AO193"/>
    </row>
    <row r="194" spans="1:41" hidden="1" x14ac:dyDescent="0.2">
      <c r="A194" t="s">
        <v>443</v>
      </c>
      <c r="B194" t="s">
        <v>444</v>
      </c>
      <c r="C194" t="s">
        <v>25</v>
      </c>
      <c r="D194" t="s">
        <v>50</v>
      </c>
      <c r="E194" s="3">
        <v>342.5</v>
      </c>
      <c r="G194" s="1">
        <v>99</v>
      </c>
      <c r="H194" s="1">
        <v>50</v>
      </c>
      <c r="I194" s="1">
        <v>70</v>
      </c>
      <c r="J194" s="1">
        <f t="shared" ref="J194:J257" si="2">I194-G194</f>
        <v>-29</v>
      </c>
      <c r="K194" s="2">
        <v>1.2328589944278492</v>
      </c>
      <c r="L194" s="2">
        <v>4.2964275584501381</v>
      </c>
      <c r="M194" s="2">
        <v>8.6977700626148895</v>
      </c>
      <c r="N194" s="2">
        <v>6.7558653218337223</v>
      </c>
      <c r="O194" s="2">
        <v>20.958602905273438</v>
      </c>
      <c r="P194" s="2">
        <v>73.039268493652344</v>
      </c>
      <c r="Q194" s="2">
        <v>147.86209106445312</v>
      </c>
      <c r="R194" s="2">
        <v>114.84971047117328</v>
      </c>
      <c r="S194" s="1">
        <v>85</v>
      </c>
      <c r="T194" s="1">
        <v>51</v>
      </c>
      <c r="U194" s="1">
        <v>197</v>
      </c>
      <c r="V194">
        <v>105.97520313597727</v>
      </c>
      <c r="W194">
        <v>1</v>
      </c>
      <c r="X194" s="2">
        <f>draft_board[[#This Row],[expected_ppg]]-draft_board[[#This Row],[median_ppg]]</f>
        <v>2.4594377633835842</v>
      </c>
      <c r="Y194">
        <v>16</v>
      </c>
      <c r="AB194"/>
      <c r="AG194"/>
      <c r="AK194"/>
      <c r="AL194"/>
      <c r="AM194"/>
      <c r="AO194"/>
    </row>
    <row r="195" spans="1:41" hidden="1" x14ac:dyDescent="0.2">
      <c r="A195" t="s">
        <v>453</v>
      </c>
      <c r="B195" t="s">
        <v>454</v>
      </c>
      <c r="C195" t="s">
        <v>84</v>
      </c>
      <c r="D195" t="s">
        <v>78</v>
      </c>
      <c r="E195" s="3">
        <v>365</v>
      </c>
      <c r="F195">
        <v>5</v>
      </c>
      <c r="G195" s="1">
        <v>30</v>
      </c>
      <c r="H195" s="1">
        <v>27</v>
      </c>
      <c r="I195" s="1">
        <v>26</v>
      </c>
      <c r="J195" s="1">
        <f t="shared" si="2"/>
        <v>-4</v>
      </c>
      <c r="K195" s="2">
        <v>4.1962702134076286</v>
      </c>
      <c r="L195" s="2">
        <v>6.2176657284007355</v>
      </c>
      <c r="M195" s="2">
        <v>8.5661854463465072</v>
      </c>
      <c r="N195" s="2">
        <v>6.7549043962118347</v>
      </c>
      <c r="O195" s="2">
        <v>71.336593627929688</v>
      </c>
      <c r="P195" s="2">
        <v>105.7003173828125</v>
      </c>
      <c r="Q195" s="2">
        <v>145.62515258789062</v>
      </c>
      <c r="R195" s="2">
        <v>114.8333747356012</v>
      </c>
      <c r="S195" s="1">
        <v>26</v>
      </c>
      <c r="T195" s="1">
        <v>29</v>
      </c>
      <c r="U195" s="1">
        <v>198</v>
      </c>
      <c r="V195">
        <v>115.37155186975372</v>
      </c>
      <c r="W195">
        <v>2.7</v>
      </c>
      <c r="X195" s="2">
        <f>draft_board[[#This Row],[expected_ppg]]-draft_board[[#This Row],[median_ppg]]</f>
        <v>0.53723866781109919</v>
      </c>
      <c r="Y195">
        <v>14.3</v>
      </c>
      <c r="AB195"/>
      <c r="AG195"/>
      <c r="AK195"/>
      <c r="AL195"/>
      <c r="AM195"/>
      <c r="AO195"/>
    </row>
    <row r="196" spans="1:41" hidden="1" x14ac:dyDescent="0.2">
      <c r="A196" t="s">
        <v>413</v>
      </c>
      <c r="B196" t="s">
        <v>414</v>
      </c>
      <c r="C196" t="s">
        <v>32</v>
      </c>
      <c r="D196" t="s">
        <v>81</v>
      </c>
      <c r="E196" s="3">
        <v>291.25</v>
      </c>
      <c r="F196">
        <v>6</v>
      </c>
      <c r="G196" s="1">
        <v>80</v>
      </c>
      <c r="H196" s="1">
        <v>69</v>
      </c>
      <c r="I196" s="1">
        <v>65</v>
      </c>
      <c r="J196" s="1">
        <f t="shared" si="2"/>
        <v>-15</v>
      </c>
      <c r="K196" s="2">
        <v>4.4526555678423714</v>
      </c>
      <c r="L196" s="2">
        <v>6.204985674689798</v>
      </c>
      <c r="M196" s="2">
        <v>9.1369844324448533</v>
      </c>
      <c r="N196" s="2">
        <v>6.6696807801111371</v>
      </c>
      <c r="O196" s="2">
        <v>75.695144653320312</v>
      </c>
      <c r="P196" s="2">
        <v>105.48475646972656</v>
      </c>
      <c r="Q196" s="2">
        <v>155.3287353515625</v>
      </c>
      <c r="R196" s="2">
        <v>113.38457326188933</v>
      </c>
      <c r="S196" s="1">
        <v>55</v>
      </c>
      <c r="T196" s="1">
        <v>67</v>
      </c>
      <c r="U196" s="1">
        <v>199</v>
      </c>
      <c r="V196">
        <v>118.42993616707747</v>
      </c>
      <c r="W196">
        <v>0.8</v>
      </c>
      <c r="X196" s="2">
        <f>draft_board[[#This Row],[expected_ppg]]-draft_board[[#This Row],[median_ppg]]</f>
        <v>0.46469510542133907</v>
      </c>
      <c r="Y196">
        <v>16.2</v>
      </c>
      <c r="AB196"/>
      <c r="AG196"/>
      <c r="AK196"/>
      <c r="AL196"/>
      <c r="AM196"/>
      <c r="AO196"/>
    </row>
    <row r="197" spans="1:41" hidden="1" x14ac:dyDescent="0.2">
      <c r="A197" t="s">
        <v>415</v>
      </c>
      <c r="B197" t="s">
        <v>416</v>
      </c>
      <c r="C197" t="s">
        <v>32</v>
      </c>
      <c r="D197" t="s">
        <v>100</v>
      </c>
      <c r="E197" s="3">
        <v>293</v>
      </c>
      <c r="G197" s="1">
        <v>81</v>
      </c>
      <c r="H197" s="1">
        <v>70</v>
      </c>
      <c r="I197" s="1">
        <v>90</v>
      </c>
      <c r="J197" s="1">
        <f t="shared" si="2"/>
        <v>9</v>
      </c>
      <c r="K197" s="2">
        <v>3.1742526783662686</v>
      </c>
      <c r="L197" s="2">
        <v>4.8897916008444398</v>
      </c>
      <c r="M197" s="2">
        <v>7.1799688900218293</v>
      </c>
      <c r="N197" s="2">
        <v>6.656966038099565</v>
      </c>
      <c r="O197" s="2">
        <v>53.962295532226562</v>
      </c>
      <c r="P197" s="2">
        <v>83.126457214355469</v>
      </c>
      <c r="Q197" s="2">
        <v>122.05947113037109</v>
      </c>
      <c r="R197" s="2">
        <v>113.16842264769261</v>
      </c>
      <c r="S197" s="1">
        <v>72</v>
      </c>
      <c r="T197" s="1">
        <v>96</v>
      </c>
      <c r="U197" s="1">
        <v>200</v>
      </c>
      <c r="V197">
        <v>103.99451176940295</v>
      </c>
      <c r="W197">
        <v>1</v>
      </c>
      <c r="X197" s="2">
        <f>draft_board[[#This Row],[expected_ppg]]-draft_board[[#This Row],[median_ppg]]</f>
        <v>1.7671744372551252</v>
      </c>
      <c r="Y197">
        <v>16</v>
      </c>
      <c r="AB197"/>
      <c r="AG197"/>
      <c r="AK197"/>
      <c r="AL197"/>
      <c r="AM197"/>
      <c r="AO197"/>
    </row>
    <row r="198" spans="1:41" hidden="1" x14ac:dyDescent="0.2">
      <c r="A198" t="s">
        <v>455</v>
      </c>
      <c r="B198" t="s">
        <v>456</v>
      </c>
      <c r="C198" t="s">
        <v>84</v>
      </c>
      <c r="D198" t="s">
        <v>36</v>
      </c>
      <c r="E198" s="3">
        <v>384.5</v>
      </c>
      <c r="F198">
        <v>5</v>
      </c>
      <c r="G198" s="1">
        <v>31</v>
      </c>
      <c r="H198" s="1">
        <v>28</v>
      </c>
      <c r="I198" s="1">
        <v>36</v>
      </c>
      <c r="J198" s="1">
        <f t="shared" si="2"/>
        <v>5</v>
      </c>
      <c r="K198" s="2">
        <v>4.1199847950654869</v>
      </c>
      <c r="L198" s="2">
        <v>4.8918667961569398</v>
      </c>
      <c r="M198" s="2">
        <v>7.3223190307617188</v>
      </c>
      <c r="N198" s="2">
        <v>6.6505074786017149</v>
      </c>
      <c r="O198" s="2">
        <v>70.039741516113281</v>
      </c>
      <c r="P198" s="2">
        <v>83.161735534667969</v>
      </c>
      <c r="Q198" s="2">
        <v>124.47942352294922</v>
      </c>
      <c r="R198" s="2">
        <v>113.05862713622915</v>
      </c>
      <c r="S198" s="1">
        <v>27</v>
      </c>
      <c r="T198" s="1">
        <v>37</v>
      </c>
      <c r="U198" s="1">
        <v>201</v>
      </c>
      <c r="V198">
        <v>107.881088928222</v>
      </c>
      <c r="W198">
        <v>1</v>
      </c>
      <c r="X198" s="2">
        <f>draft_board[[#This Row],[expected_ppg]]-draft_board[[#This Row],[median_ppg]]</f>
        <v>1.7586406824447751</v>
      </c>
      <c r="Y198">
        <v>16</v>
      </c>
      <c r="AB198"/>
      <c r="AG198"/>
      <c r="AK198"/>
      <c r="AL198"/>
      <c r="AM198"/>
      <c r="AO198"/>
    </row>
    <row r="199" spans="1:41" hidden="1" x14ac:dyDescent="0.2">
      <c r="A199" t="s">
        <v>305</v>
      </c>
      <c r="B199" t="s">
        <v>306</v>
      </c>
      <c r="C199" t="s">
        <v>25</v>
      </c>
      <c r="D199" t="s">
        <v>85</v>
      </c>
      <c r="E199" s="3">
        <v>161.5</v>
      </c>
      <c r="F199">
        <v>6</v>
      </c>
      <c r="G199" s="1">
        <v>46</v>
      </c>
      <c r="H199" s="1">
        <v>51</v>
      </c>
      <c r="I199" s="1">
        <v>53</v>
      </c>
      <c r="J199" s="1">
        <f t="shared" si="2"/>
        <v>7</v>
      </c>
      <c r="K199" s="2">
        <v>3.0374524733599495</v>
      </c>
      <c r="L199" s="2">
        <v>5.4396703383501839</v>
      </c>
      <c r="M199" s="2">
        <v>8.123077392578125</v>
      </c>
      <c r="N199" s="2">
        <v>6.6413230873096971</v>
      </c>
      <c r="O199" s="2">
        <v>51.636692047119141</v>
      </c>
      <c r="P199" s="2">
        <v>92.474395751953125</v>
      </c>
      <c r="Q199" s="2">
        <v>138.09231567382812</v>
      </c>
      <c r="R199" s="2">
        <v>112.90249248426485</v>
      </c>
      <c r="S199" s="1">
        <v>52</v>
      </c>
      <c r="T199" s="1">
        <v>57</v>
      </c>
      <c r="U199" s="1">
        <v>203</v>
      </c>
      <c r="V199">
        <v>108.20627935370469</v>
      </c>
      <c r="W199">
        <v>0.7</v>
      </c>
      <c r="X199" s="2">
        <f>draft_board[[#This Row],[expected_ppg]]-draft_board[[#This Row],[median_ppg]]</f>
        <v>1.2016527489595132</v>
      </c>
      <c r="Y199">
        <v>16.3</v>
      </c>
      <c r="AB199"/>
      <c r="AG199"/>
      <c r="AK199"/>
      <c r="AL199"/>
      <c r="AM199"/>
      <c r="AO199"/>
    </row>
    <row r="200" spans="1:41" hidden="1" x14ac:dyDescent="0.2">
      <c r="A200" t="s">
        <v>457</v>
      </c>
      <c r="B200" t="s">
        <v>458</v>
      </c>
      <c r="C200" t="s">
        <v>32</v>
      </c>
      <c r="D200" t="s">
        <v>139</v>
      </c>
      <c r="E200" s="3">
        <v>386.33333329999999</v>
      </c>
      <c r="G200" s="1">
        <v>93</v>
      </c>
      <c r="H200" s="1">
        <v>71</v>
      </c>
      <c r="I200" s="1">
        <v>62</v>
      </c>
      <c r="J200" s="1">
        <f t="shared" si="2"/>
        <v>-31</v>
      </c>
      <c r="K200" s="2">
        <v>3.0974697786218979</v>
      </c>
      <c r="L200" s="2">
        <v>6.3150396908030793</v>
      </c>
      <c r="M200" s="2">
        <v>9.4582474652458632</v>
      </c>
      <c r="N200" s="2">
        <v>6.6080830570128004</v>
      </c>
      <c r="O200" s="2">
        <v>52.656986236572266</v>
      </c>
      <c r="P200" s="2">
        <v>107.35567474365234</v>
      </c>
      <c r="Q200" s="2">
        <v>160.79020690917969</v>
      </c>
      <c r="R200" s="2">
        <v>112.33741196921761</v>
      </c>
      <c r="S200" s="1">
        <v>74</v>
      </c>
      <c r="T200" s="1">
        <v>64</v>
      </c>
      <c r="U200" s="1">
        <v>204</v>
      </c>
      <c r="V200">
        <v>114.93716530467717</v>
      </c>
      <c r="W200">
        <v>1.7</v>
      </c>
      <c r="X200" s="2">
        <f>draft_board[[#This Row],[expected_ppg]]-draft_board[[#This Row],[median_ppg]]</f>
        <v>0.29304336620972116</v>
      </c>
      <c r="Y200">
        <v>15.3</v>
      </c>
      <c r="AB200"/>
      <c r="AG200"/>
      <c r="AK200"/>
      <c r="AL200"/>
      <c r="AM200"/>
      <c r="AO200"/>
    </row>
    <row r="201" spans="1:41" hidden="1" x14ac:dyDescent="0.2">
      <c r="A201" t="s">
        <v>425</v>
      </c>
      <c r="B201" t="s">
        <v>426</v>
      </c>
      <c r="C201" t="s">
        <v>84</v>
      </c>
      <c r="D201" t="s">
        <v>220</v>
      </c>
      <c r="E201" s="3">
        <v>304</v>
      </c>
      <c r="F201">
        <v>5</v>
      </c>
      <c r="G201" s="1">
        <v>28</v>
      </c>
      <c r="H201" s="1">
        <v>30</v>
      </c>
      <c r="I201" s="1">
        <v>29</v>
      </c>
      <c r="J201" s="1">
        <f t="shared" si="2"/>
        <v>1</v>
      </c>
      <c r="K201" s="2">
        <v>3.3114404117359832</v>
      </c>
      <c r="L201" s="2">
        <v>5.7898483276367188</v>
      </c>
      <c r="M201" s="2">
        <v>8.8921033073874085</v>
      </c>
      <c r="N201" s="2">
        <v>6.589036382360745</v>
      </c>
      <c r="O201" s="2">
        <v>56.294486999511719</v>
      </c>
      <c r="P201" s="2">
        <v>98.427421569824219</v>
      </c>
      <c r="Q201" s="2">
        <v>151.16575622558594</v>
      </c>
      <c r="R201" s="2">
        <v>112.01361850013267</v>
      </c>
      <c r="S201" s="1">
        <v>34</v>
      </c>
      <c r="T201" s="1">
        <v>26</v>
      </c>
      <c r="U201" s="1">
        <v>205</v>
      </c>
      <c r="V201">
        <v>112.61543351764445</v>
      </c>
      <c r="W201">
        <v>1</v>
      </c>
      <c r="X201" s="2">
        <f>draft_board[[#This Row],[expected_ppg]]-draft_board[[#This Row],[median_ppg]]</f>
        <v>0.79918805472402621</v>
      </c>
      <c r="Y201">
        <v>16</v>
      </c>
      <c r="AB201"/>
      <c r="AG201"/>
      <c r="AK201"/>
      <c r="AL201"/>
      <c r="AM201"/>
      <c r="AO201"/>
    </row>
    <row r="202" spans="1:41" hidden="1" x14ac:dyDescent="0.2">
      <c r="A202" t="s">
        <v>531</v>
      </c>
      <c r="B202" t="s">
        <v>532</v>
      </c>
      <c r="C202" t="s">
        <v>32</v>
      </c>
      <c r="D202" t="s">
        <v>33</v>
      </c>
      <c r="E202" s="3"/>
      <c r="H202" s="1">
        <v>72</v>
      </c>
      <c r="I202" s="1">
        <v>77</v>
      </c>
      <c r="J202" s="1">
        <f t="shared" si="2"/>
        <v>77</v>
      </c>
      <c r="K202" s="2">
        <v>3.4818642560173485</v>
      </c>
      <c r="L202" s="2">
        <v>5.3395331887637871</v>
      </c>
      <c r="M202" s="2">
        <v>8.9515300077550553</v>
      </c>
      <c r="N202" s="2">
        <v>6.588631582970077</v>
      </c>
      <c r="O202" s="2">
        <v>59.191692352294922</v>
      </c>
      <c r="P202" s="2">
        <v>90.772064208984375</v>
      </c>
      <c r="Q202" s="2">
        <v>152.17601013183594</v>
      </c>
      <c r="R202" s="2">
        <v>112.00673691049131</v>
      </c>
      <c r="S202" s="1">
        <v>67</v>
      </c>
      <c r="T202" s="1">
        <v>68</v>
      </c>
      <c r="U202" s="1">
        <v>206</v>
      </c>
      <c r="V202">
        <v>113.49450996525542</v>
      </c>
      <c r="W202">
        <v>0.6</v>
      </c>
      <c r="X202" s="2">
        <f>draft_board[[#This Row],[expected_ppg]]-draft_board[[#This Row],[median_ppg]]</f>
        <v>1.2490983942062899</v>
      </c>
      <c r="Y202">
        <v>16.399999999999999</v>
      </c>
      <c r="AB202"/>
      <c r="AG202"/>
      <c r="AK202"/>
      <c r="AL202"/>
      <c r="AM202"/>
      <c r="AO202"/>
    </row>
    <row r="203" spans="1:41" hidden="1" x14ac:dyDescent="0.2">
      <c r="A203" t="s">
        <v>459</v>
      </c>
      <c r="B203" t="s">
        <v>460</v>
      </c>
      <c r="C203" t="s">
        <v>32</v>
      </c>
      <c r="D203" t="s">
        <v>39</v>
      </c>
      <c r="E203" s="3">
        <v>398.66666670000001</v>
      </c>
      <c r="G203" s="1">
        <v>94</v>
      </c>
      <c r="H203" s="1">
        <v>73</v>
      </c>
      <c r="I203" s="1">
        <v>86</v>
      </c>
      <c r="J203" s="1">
        <f t="shared" si="2"/>
        <v>-8</v>
      </c>
      <c r="K203" s="2">
        <v>2.7792955286362591</v>
      </c>
      <c r="L203" s="2">
        <v>4.9488274069393379</v>
      </c>
      <c r="M203" s="2">
        <v>6.1639188878676467</v>
      </c>
      <c r="N203" s="2">
        <v>6.4946717745019429</v>
      </c>
      <c r="O203" s="2">
        <v>47.248023986816406</v>
      </c>
      <c r="P203" s="2">
        <v>84.13006591796875</v>
      </c>
      <c r="Q203" s="2">
        <v>104.78662109375</v>
      </c>
      <c r="R203" s="2">
        <v>110.40942016653302</v>
      </c>
      <c r="S203" s="1">
        <v>80</v>
      </c>
      <c r="T203" s="1">
        <v>105</v>
      </c>
      <c r="U203" s="1">
        <v>209</v>
      </c>
      <c r="V203">
        <v>96.090301208754781</v>
      </c>
      <c r="W203">
        <v>1.2</v>
      </c>
      <c r="X203" s="2">
        <f>draft_board[[#This Row],[expected_ppg]]-draft_board[[#This Row],[median_ppg]]</f>
        <v>1.545844367562605</v>
      </c>
      <c r="Y203">
        <v>15.8</v>
      </c>
      <c r="AB203"/>
      <c r="AG203"/>
      <c r="AK203"/>
      <c r="AL203"/>
      <c r="AM203"/>
      <c r="AO203"/>
    </row>
    <row r="204" spans="1:41" hidden="1" x14ac:dyDescent="0.2">
      <c r="A204" t="s">
        <v>537</v>
      </c>
      <c r="B204" t="s">
        <v>538</v>
      </c>
      <c r="C204" t="s">
        <v>32</v>
      </c>
      <c r="D204" t="s">
        <v>59</v>
      </c>
      <c r="E204" s="3"/>
      <c r="H204" s="1">
        <v>74</v>
      </c>
      <c r="I204" s="1">
        <v>92</v>
      </c>
      <c r="J204" s="1">
        <f t="shared" si="2"/>
        <v>92</v>
      </c>
      <c r="K204" s="2">
        <v>2.1668250140021827</v>
      </c>
      <c r="L204" s="2">
        <v>4.8590343699735756</v>
      </c>
      <c r="M204" s="2">
        <v>8.3520301370059737</v>
      </c>
      <c r="N204" s="2">
        <v>6.4782410227125267</v>
      </c>
      <c r="O204" s="2">
        <v>36.836025238037109</v>
      </c>
      <c r="P204" s="2">
        <v>82.603584289550781</v>
      </c>
      <c r="Q204" s="2">
        <v>141.98451232910156</v>
      </c>
      <c r="R204" s="2">
        <v>110.13009738611295</v>
      </c>
      <c r="S204" s="1">
        <v>99</v>
      </c>
      <c r="T204" s="1">
        <v>78</v>
      </c>
      <c r="U204" s="1">
        <v>210</v>
      </c>
      <c r="V204">
        <v>105.02760743939437</v>
      </c>
      <c r="W204">
        <v>1</v>
      </c>
      <c r="X204" s="2">
        <f>draft_board[[#This Row],[expected_ppg]]-draft_board[[#This Row],[median_ppg]]</f>
        <v>1.619206652738951</v>
      </c>
      <c r="Y204">
        <v>16</v>
      </c>
      <c r="AB204"/>
      <c r="AG204"/>
      <c r="AK204"/>
      <c r="AL204"/>
      <c r="AM204"/>
      <c r="AO204"/>
    </row>
    <row r="205" spans="1:41" hidden="1" x14ac:dyDescent="0.2">
      <c r="A205" s="8" t="s">
        <v>180</v>
      </c>
      <c r="B205" s="8" t="s">
        <v>181</v>
      </c>
      <c r="C205" s="8" t="s">
        <v>25</v>
      </c>
      <c r="D205" s="8" t="s">
        <v>182</v>
      </c>
      <c r="E205" s="10">
        <v>67</v>
      </c>
      <c r="F205" s="8"/>
      <c r="G205" s="9">
        <v>25</v>
      </c>
      <c r="H205" s="9">
        <v>52</v>
      </c>
      <c r="I205" s="9">
        <v>46</v>
      </c>
      <c r="J205" s="9">
        <f t="shared" si="2"/>
        <v>21</v>
      </c>
      <c r="K205" s="11">
        <v>2.8699592141544117</v>
      </c>
      <c r="L205" s="11">
        <v>5.9169948802274819</v>
      </c>
      <c r="M205" s="11">
        <v>8.6175447351792283</v>
      </c>
      <c r="N205" s="11">
        <v>6.4541974733932301</v>
      </c>
      <c r="O205" s="11">
        <v>48.789306640625</v>
      </c>
      <c r="P205" s="11">
        <v>100.58891296386719</v>
      </c>
      <c r="Q205" s="11">
        <v>146.49826049804688</v>
      </c>
      <c r="R205" s="11">
        <v>109.72135704768492</v>
      </c>
      <c r="S205" s="9">
        <v>55</v>
      </c>
      <c r="T205" s="9">
        <v>53</v>
      </c>
      <c r="U205" s="9">
        <v>211</v>
      </c>
      <c r="V205" s="8">
        <v>108.56801800138153</v>
      </c>
      <c r="W205" s="8">
        <v>0.7</v>
      </c>
      <c r="X205" s="11">
        <f>draft_board[[#This Row],[expected_ppg]]-draft_board[[#This Row],[median_ppg]]</f>
        <v>0.53720259316574825</v>
      </c>
      <c r="Y205" s="8">
        <v>16.3</v>
      </c>
      <c r="AB205"/>
      <c r="AG205"/>
      <c r="AK205"/>
      <c r="AL205"/>
      <c r="AM205"/>
      <c r="AO205"/>
    </row>
    <row r="206" spans="1:41" hidden="1" x14ac:dyDescent="0.2">
      <c r="A206" t="s">
        <v>387</v>
      </c>
      <c r="B206" t="s">
        <v>388</v>
      </c>
      <c r="C206" t="s">
        <v>32</v>
      </c>
      <c r="D206" t="s">
        <v>139</v>
      </c>
      <c r="E206" s="3">
        <v>264.75</v>
      </c>
      <c r="G206" s="1">
        <v>73</v>
      </c>
      <c r="H206" s="1">
        <v>75</v>
      </c>
      <c r="I206" s="1">
        <v>63</v>
      </c>
      <c r="J206" s="1">
        <f t="shared" si="2"/>
        <v>-10</v>
      </c>
      <c r="K206" s="2">
        <v>3.305770425235524</v>
      </c>
      <c r="L206" s="2">
        <v>6.3077625947840072</v>
      </c>
      <c r="M206" s="2">
        <v>9.4029433306525743</v>
      </c>
      <c r="N206" s="2">
        <v>6.433578601672731</v>
      </c>
      <c r="O206" s="2">
        <v>56.198097229003906</v>
      </c>
      <c r="P206" s="2">
        <v>107.23196411132812</v>
      </c>
      <c r="Q206" s="2">
        <v>159.85003662109375</v>
      </c>
      <c r="R206" s="2">
        <v>109.37083622843643</v>
      </c>
      <c r="S206" s="1">
        <v>70</v>
      </c>
      <c r="T206" s="1">
        <v>65</v>
      </c>
      <c r="U206" s="1">
        <v>212</v>
      </c>
      <c r="V206">
        <v>113.88004854634713</v>
      </c>
      <c r="W206">
        <v>2</v>
      </c>
      <c r="X206" s="2">
        <f>draft_board[[#This Row],[expected_ppg]]-draft_board[[#This Row],[median_ppg]]</f>
        <v>0.12581600688872374</v>
      </c>
      <c r="Y206">
        <v>15</v>
      </c>
      <c r="AB206"/>
      <c r="AG206"/>
      <c r="AK206"/>
      <c r="AL206"/>
      <c r="AM206"/>
      <c r="AO206"/>
    </row>
    <row r="207" spans="1:41" hidden="1" x14ac:dyDescent="0.2">
      <c r="A207" t="s">
        <v>395</v>
      </c>
      <c r="B207" t="s">
        <v>396</v>
      </c>
      <c r="C207" t="s">
        <v>25</v>
      </c>
      <c r="D207" t="s">
        <v>59</v>
      </c>
      <c r="E207" s="3">
        <v>271.66666670000001</v>
      </c>
      <c r="G207" s="1">
        <v>76</v>
      </c>
      <c r="H207" s="1">
        <v>53</v>
      </c>
      <c r="I207" s="1">
        <v>58</v>
      </c>
      <c r="J207" s="1">
        <f t="shared" si="2"/>
        <v>-18</v>
      </c>
      <c r="K207" s="2">
        <v>2.4762804367963005</v>
      </c>
      <c r="L207" s="2">
        <v>5.1288510490866273</v>
      </c>
      <c r="M207" s="2">
        <v>6.8569138470818016</v>
      </c>
      <c r="N207" s="2">
        <v>6.3541370337063832</v>
      </c>
      <c r="O207" s="2">
        <v>42.096767425537109</v>
      </c>
      <c r="P207" s="2">
        <v>87.190467834472656</v>
      </c>
      <c r="Q207" s="2">
        <v>116.56753540039062</v>
      </c>
      <c r="R207" s="2">
        <v>108.02032957300851</v>
      </c>
      <c r="S207" s="1">
        <v>63</v>
      </c>
      <c r="T207" s="1">
        <v>70</v>
      </c>
      <c r="U207" s="1">
        <v>213</v>
      </c>
      <c r="V207">
        <v>97.399778891728857</v>
      </c>
      <c r="W207">
        <v>0.5</v>
      </c>
      <c r="X207" s="2">
        <f>draft_board[[#This Row],[expected_ppg]]-draft_board[[#This Row],[median_ppg]]</f>
        <v>1.2252859846197559</v>
      </c>
      <c r="Y207">
        <v>16.5</v>
      </c>
      <c r="AB207"/>
      <c r="AG207"/>
      <c r="AK207"/>
      <c r="AL207"/>
      <c r="AM207"/>
      <c r="AO207"/>
    </row>
    <row r="208" spans="1:41" hidden="1" x14ac:dyDescent="0.2">
      <c r="A208" t="s">
        <v>533</v>
      </c>
      <c r="B208" t="s">
        <v>534</v>
      </c>
      <c r="C208" t="s">
        <v>32</v>
      </c>
      <c r="D208" t="s">
        <v>134</v>
      </c>
      <c r="E208" s="3"/>
      <c r="H208" s="1">
        <v>76</v>
      </c>
      <c r="I208" s="1">
        <v>70</v>
      </c>
      <c r="J208" s="1">
        <f t="shared" si="2"/>
        <v>70</v>
      </c>
      <c r="K208" s="2">
        <v>3.2379594690659466</v>
      </c>
      <c r="L208" s="2">
        <v>5.7088869880227477</v>
      </c>
      <c r="M208" s="2">
        <v>8.5290446561925553</v>
      </c>
      <c r="N208" s="2">
        <v>6.3364279757050079</v>
      </c>
      <c r="O208" s="2">
        <v>55.045310974121094</v>
      </c>
      <c r="P208" s="2">
        <v>97.051078796386719</v>
      </c>
      <c r="Q208" s="2">
        <v>144.99375915527344</v>
      </c>
      <c r="R208" s="2">
        <v>107.71927558698513</v>
      </c>
      <c r="S208" s="1">
        <v>71</v>
      </c>
      <c r="T208" s="1">
        <v>74</v>
      </c>
      <c r="U208" s="1">
        <v>214</v>
      </c>
      <c r="V208">
        <v>108.36682773489882</v>
      </c>
      <c r="W208">
        <v>1</v>
      </c>
      <c r="X208" s="2">
        <f>draft_board[[#This Row],[expected_ppg]]-draft_board[[#This Row],[median_ppg]]</f>
        <v>0.62754098768226019</v>
      </c>
      <c r="Y208">
        <v>16</v>
      </c>
      <c r="AB208"/>
      <c r="AG208"/>
      <c r="AK208"/>
      <c r="AL208"/>
      <c r="AM208"/>
      <c r="AO208"/>
    </row>
    <row r="209" spans="1:41" hidden="1" x14ac:dyDescent="0.2">
      <c r="A209" t="s">
        <v>353</v>
      </c>
      <c r="B209" t="s">
        <v>354</v>
      </c>
      <c r="C209" t="s">
        <v>25</v>
      </c>
      <c r="D209" t="s">
        <v>81</v>
      </c>
      <c r="E209" s="3">
        <v>223.5</v>
      </c>
      <c r="F209">
        <v>6</v>
      </c>
      <c r="G209" s="1">
        <v>60</v>
      </c>
      <c r="H209" s="1">
        <v>54</v>
      </c>
      <c r="I209" s="1">
        <v>65</v>
      </c>
      <c r="J209" s="1">
        <f t="shared" si="2"/>
        <v>5</v>
      </c>
      <c r="K209" s="2">
        <v>2.6847879746380974</v>
      </c>
      <c r="L209" s="2">
        <v>4.6052726296817559</v>
      </c>
      <c r="M209" s="2">
        <v>6.4060498405905335</v>
      </c>
      <c r="N209" s="2">
        <v>6.2754207889698543</v>
      </c>
      <c r="O209" s="2">
        <v>45.641395568847656</v>
      </c>
      <c r="P209" s="2">
        <v>78.289634704589844</v>
      </c>
      <c r="Q209" s="2">
        <v>108.90284729003906</v>
      </c>
      <c r="R209" s="2">
        <v>106.68215341248752</v>
      </c>
      <c r="S209" s="1">
        <v>56</v>
      </c>
      <c r="T209" s="1">
        <v>78</v>
      </c>
      <c r="U209" s="1">
        <v>216</v>
      </c>
      <c r="V209">
        <v>95.140210007025019</v>
      </c>
      <c r="W209">
        <v>1.4</v>
      </c>
      <c r="X209" s="2">
        <f>draft_board[[#This Row],[expected_ppg]]-draft_board[[#This Row],[median_ppg]]</f>
        <v>1.6701481592880985</v>
      </c>
      <c r="Y209">
        <v>15.6</v>
      </c>
      <c r="AB209"/>
      <c r="AG209"/>
      <c r="AK209"/>
      <c r="AL209"/>
      <c r="AM209"/>
      <c r="AO209"/>
    </row>
    <row r="210" spans="1:41" hidden="1" x14ac:dyDescent="0.2">
      <c r="A210" t="s">
        <v>521</v>
      </c>
      <c r="B210" t="s">
        <v>522</v>
      </c>
      <c r="C210" t="s">
        <v>25</v>
      </c>
      <c r="D210" t="s">
        <v>220</v>
      </c>
      <c r="E210" s="3"/>
      <c r="H210" s="1">
        <v>55</v>
      </c>
      <c r="I210" s="1">
        <v>48</v>
      </c>
      <c r="J210" s="1">
        <f t="shared" si="2"/>
        <v>48</v>
      </c>
      <c r="K210" s="2">
        <v>3.5039580850040211</v>
      </c>
      <c r="L210" s="2">
        <v>5.7239097146426934</v>
      </c>
      <c r="M210" s="2">
        <v>10.750798842486214</v>
      </c>
      <c r="N210" s="2">
        <v>6.1762069509614106</v>
      </c>
      <c r="O210" s="2">
        <v>59.567287445068359</v>
      </c>
      <c r="P210" s="2">
        <v>97.306465148925781</v>
      </c>
      <c r="Q210" s="2">
        <v>182.76358032226562</v>
      </c>
      <c r="R210" s="2">
        <v>104.99551816634398</v>
      </c>
      <c r="S210" s="1">
        <v>47</v>
      </c>
      <c r="T210" s="1">
        <v>36</v>
      </c>
      <c r="U210" s="1">
        <v>218</v>
      </c>
      <c r="V210">
        <v>119.24029066886536</v>
      </c>
      <c r="W210">
        <v>0.7</v>
      </c>
      <c r="X210" s="2">
        <f>draft_board[[#This Row],[expected_ppg]]-draft_board[[#This Row],[median_ppg]]</f>
        <v>0.45229723631871721</v>
      </c>
      <c r="Y210">
        <v>16.3</v>
      </c>
      <c r="AB210"/>
      <c r="AG210"/>
      <c r="AK210"/>
      <c r="AL210"/>
      <c r="AM210"/>
      <c r="AO210"/>
    </row>
    <row r="211" spans="1:41" hidden="1" x14ac:dyDescent="0.2">
      <c r="A211" t="s">
        <v>433</v>
      </c>
      <c r="B211" t="s">
        <v>434</v>
      </c>
      <c r="C211" t="s">
        <v>32</v>
      </c>
      <c r="D211" t="s">
        <v>62</v>
      </c>
      <c r="E211" s="3">
        <v>320</v>
      </c>
      <c r="G211" s="1">
        <v>85</v>
      </c>
      <c r="H211" s="1">
        <v>77</v>
      </c>
      <c r="I211" s="1">
        <v>74</v>
      </c>
      <c r="J211" s="1">
        <f t="shared" si="2"/>
        <v>-11</v>
      </c>
      <c r="K211" s="2">
        <v>3.0077204984777115</v>
      </c>
      <c r="L211" s="2">
        <v>5.5727130665498619</v>
      </c>
      <c r="M211" s="2">
        <v>8.3809958065257355</v>
      </c>
      <c r="N211" s="2">
        <v>6.1322020655903637</v>
      </c>
      <c r="O211" s="2">
        <v>51.131248474121094</v>
      </c>
      <c r="P211" s="2">
        <v>94.736122131347656</v>
      </c>
      <c r="Q211" s="2">
        <v>142.4769287109375</v>
      </c>
      <c r="R211" s="2">
        <v>104.24743511503618</v>
      </c>
      <c r="S211" s="1">
        <v>76</v>
      </c>
      <c r="T211" s="1">
        <v>76</v>
      </c>
      <c r="U211" s="1">
        <v>220</v>
      </c>
      <c r="V211">
        <v>105.09304586562357</v>
      </c>
      <c r="W211">
        <v>0.8</v>
      </c>
      <c r="X211" s="2">
        <f>draft_board[[#This Row],[expected_ppg]]-draft_board[[#This Row],[median_ppg]]</f>
        <v>0.55948899904050187</v>
      </c>
      <c r="Y211">
        <v>16.2</v>
      </c>
      <c r="AB211"/>
      <c r="AG211"/>
      <c r="AK211"/>
      <c r="AL211"/>
      <c r="AM211"/>
      <c r="AO211"/>
    </row>
    <row r="212" spans="1:41" hidden="1" x14ac:dyDescent="0.2">
      <c r="A212" t="s">
        <v>323</v>
      </c>
      <c r="B212" t="s">
        <v>324</v>
      </c>
      <c r="C212" t="s">
        <v>25</v>
      </c>
      <c r="D212" t="s">
        <v>26</v>
      </c>
      <c r="E212" s="3">
        <v>181.5</v>
      </c>
      <c r="F212">
        <v>6</v>
      </c>
      <c r="G212" s="1">
        <v>53</v>
      </c>
      <c r="H212" s="1">
        <v>56</v>
      </c>
      <c r="I212" s="1">
        <v>56</v>
      </c>
      <c r="J212" s="1">
        <f t="shared" si="2"/>
        <v>3</v>
      </c>
      <c r="K212" s="2">
        <v>3.5968226264504826</v>
      </c>
      <c r="L212" s="2">
        <v>5.2987424065085023</v>
      </c>
      <c r="M212" s="2">
        <v>7.8479048785041359</v>
      </c>
      <c r="N212" s="2">
        <v>6.1310085325061046</v>
      </c>
      <c r="O212" s="2">
        <v>61.145984649658203</v>
      </c>
      <c r="P212" s="2">
        <v>90.078620910644531</v>
      </c>
      <c r="Q212" s="2">
        <v>133.41438293457031</v>
      </c>
      <c r="R212" s="2">
        <v>104.22714505260377</v>
      </c>
      <c r="S212" s="1">
        <v>45</v>
      </c>
      <c r="T212" s="1">
        <v>59</v>
      </c>
      <c r="U212" s="1">
        <v>221</v>
      </c>
      <c r="V212">
        <v>104.36708433660462</v>
      </c>
      <c r="W212">
        <v>1.3</v>
      </c>
      <c r="X212" s="2">
        <f>draft_board[[#This Row],[expected_ppg]]-draft_board[[#This Row],[median_ppg]]</f>
        <v>0.8322661259976023</v>
      </c>
      <c r="Y212">
        <v>15.7</v>
      </c>
      <c r="AB212"/>
      <c r="AG212"/>
      <c r="AK212"/>
      <c r="AL212"/>
      <c r="AM212"/>
      <c r="AO212"/>
    </row>
    <row r="213" spans="1:41" hidden="1" x14ac:dyDescent="0.2">
      <c r="A213" t="s">
        <v>541</v>
      </c>
      <c r="B213" t="s">
        <v>542</v>
      </c>
      <c r="C213" t="s">
        <v>32</v>
      </c>
      <c r="D213" t="s">
        <v>53</v>
      </c>
      <c r="E213" s="3"/>
      <c r="H213" s="1">
        <v>78</v>
      </c>
      <c r="I213" s="1">
        <v>79</v>
      </c>
      <c r="J213" s="1">
        <f t="shared" si="2"/>
        <v>79</v>
      </c>
      <c r="K213" s="2">
        <v>2.9534389271455654</v>
      </c>
      <c r="L213" s="2">
        <v>5.2043192246380974</v>
      </c>
      <c r="M213" s="2">
        <v>7.555968340705423</v>
      </c>
      <c r="N213" s="2">
        <v>6.090489267091602</v>
      </c>
      <c r="O213" s="2">
        <v>50.208461761474609</v>
      </c>
      <c r="P213" s="2">
        <v>88.473426818847656</v>
      </c>
      <c r="Q213" s="2">
        <v>128.45146179199219</v>
      </c>
      <c r="R213" s="2">
        <v>103.53831754055723</v>
      </c>
      <c r="S213" s="1">
        <v>77</v>
      </c>
      <c r="T213" s="1">
        <v>89</v>
      </c>
      <c r="U213" s="1">
        <v>222</v>
      </c>
      <c r="V213">
        <v>100.34628966017118</v>
      </c>
      <c r="W213">
        <v>1</v>
      </c>
      <c r="X213" s="2">
        <f>draft_board[[#This Row],[expected_ppg]]-draft_board[[#This Row],[median_ppg]]</f>
        <v>0.88617004245350461</v>
      </c>
      <c r="Y213">
        <v>16</v>
      </c>
      <c r="AB213"/>
      <c r="AG213"/>
      <c r="AK213"/>
      <c r="AL213"/>
      <c r="AM213"/>
      <c r="AO213"/>
    </row>
    <row r="214" spans="1:41" hidden="1" x14ac:dyDescent="0.2">
      <c r="A214" t="s">
        <v>543</v>
      </c>
      <c r="B214" t="s">
        <v>544</v>
      </c>
      <c r="C214" t="s">
        <v>32</v>
      </c>
      <c r="D214" t="s">
        <v>103</v>
      </c>
      <c r="E214" s="3"/>
      <c r="H214" s="1">
        <v>79</v>
      </c>
      <c r="I214" s="1">
        <v>93</v>
      </c>
      <c r="J214" s="1">
        <f t="shared" si="2"/>
        <v>93</v>
      </c>
      <c r="K214" s="2">
        <v>2.7395463831284466</v>
      </c>
      <c r="L214" s="2">
        <v>4.8548337151022523</v>
      </c>
      <c r="M214" s="2">
        <v>7.637937657973346</v>
      </c>
      <c r="N214" s="2">
        <v>6.0854066577500339</v>
      </c>
      <c r="O214" s="2">
        <v>46.572288513183594</v>
      </c>
      <c r="P214" s="2">
        <v>82.532173156738281</v>
      </c>
      <c r="Q214" s="2">
        <v>129.84494018554688</v>
      </c>
      <c r="R214" s="2">
        <v>103.45191318175057</v>
      </c>
      <c r="S214" s="1">
        <v>81</v>
      </c>
      <c r="T214" s="1">
        <v>86</v>
      </c>
      <c r="U214" s="1">
        <v>224</v>
      </c>
      <c r="V214">
        <v>99.993896349176069</v>
      </c>
      <c r="W214">
        <v>1</v>
      </c>
      <c r="X214" s="2">
        <f>draft_board[[#This Row],[expected_ppg]]-draft_board[[#This Row],[median_ppg]]</f>
        <v>1.2305729426477816</v>
      </c>
      <c r="Y214">
        <v>16</v>
      </c>
      <c r="AB214"/>
      <c r="AG214"/>
      <c r="AK214"/>
      <c r="AL214"/>
      <c r="AM214"/>
      <c r="AO214"/>
    </row>
    <row r="215" spans="1:41" hidden="1" x14ac:dyDescent="0.2">
      <c r="A215" t="s">
        <v>409</v>
      </c>
      <c r="B215" t="s">
        <v>410</v>
      </c>
      <c r="C215" t="s">
        <v>32</v>
      </c>
      <c r="D215" t="s">
        <v>50</v>
      </c>
      <c r="E215" s="3">
        <v>288</v>
      </c>
      <c r="G215" s="1">
        <v>78</v>
      </c>
      <c r="H215" s="1">
        <v>80</v>
      </c>
      <c r="I215" s="1">
        <v>89</v>
      </c>
      <c r="J215" s="1">
        <f t="shared" si="2"/>
        <v>11</v>
      </c>
      <c r="K215" s="2">
        <v>2.8390408684225643</v>
      </c>
      <c r="L215" s="2">
        <v>4.8946335736443016</v>
      </c>
      <c r="M215" s="2">
        <v>8.5796086928423705</v>
      </c>
      <c r="N215" s="2">
        <v>6.0392248152943111</v>
      </c>
      <c r="O215" s="2">
        <v>48.263694763183594</v>
      </c>
      <c r="P215" s="2">
        <v>83.208770751953125</v>
      </c>
      <c r="Q215" s="2">
        <v>145.85334777832031</v>
      </c>
      <c r="R215" s="2">
        <v>102.66682186000328</v>
      </c>
      <c r="S215" s="1">
        <v>79</v>
      </c>
      <c r="T215" s="1">
        <v>72</v>
      </c>
      <c r="U215" s="1">
        <v>225</v>
      </c>
      <c r="V215">
        <v>104.74215421613445</v>
      </c>
      <c r="W215">
        <v>0.8</v>
      </c>
      <c r="X215" s="2">
        <f>draft_board[[#This Row],[expected_ppg]]-draft_board[[#This Row],[median_ppg]]</f>
        <v>1.1445912416500095</v>
      </c>
      <c r="Y215">
        <v>16.2</v>
      </c>
      <c r="AB215"/>
      <c r="AG215"/>
      <c r="AK215"/>
      <c r="AL215"/>
      <c r="AM215"/>
      <c r="AO215"/>
    </row>
    <row r="216" spans="1:41" hidden="1" x14ac:dyDescent="0.2">
      <c r="A216" t="s">
        <v>393</v>
      </c>
      <c r="B216" t="s">
        <v>394</v>
      </c>
      <c r="C216" t="s">
        <v>25</v>
      </c>
      <c r="D216" t="s">
        <v>72</v>
      </c>
      <c r="E216" s="3">
        <v>270.75</v>
      </c>
      <c r="G216" s="1">
        <v>75</v>
      </c>
      <c r="H216" s="1">
        <v>57</v>
      </c>
      <c r="I216" s="1">
        <v>68</v>
      </c>
      <c r="J216" s="1">
        <f t="shared" si="2"/>
        <v>-7</v>
      </c>
      <c r="K216" s="2">
        <v>2.5526580810546875</v>
      </c>
      <c r="L216" s="2">
        <v>4.4035568237304688</v>
      </c>
      <c r="M216" s="2">
        <v>7.5363679773667283</v>
      </c>
      <c r="N216" s="2">
        <v>5.9157375277947946</v>
      </c>
      <c r="O216" s="2">
        <v>43.395187377929688</v>
      </c>
      <c r="P216" s="2">
        <v>74.860466003417969</v>
      </c>
      <c r="Q216" s="2">
        <v>128.11825561523438</v>
      </c>
      <c r="R216" s="2">
        <v>100.5675379725115</v>
      </c>
      <c r="S216" s="1">
        <v>61</v>
      </c>
      <c r="T216" s="1">
        <v>61</v>
      </c>
      <c r="U216" s="1">
        <v>228</v>
      </c>
      <c r="V216">
        <v>97.398283146412012</v>
      </c>
      <c r="W216">
        <v>0.8</v>
      </c>
      <c r="X216" s="2">
        <f>draft_board[[#This Row],[expected_ppg]]-draft_board[[#This Row],[median_ppg]]</f>
        <v>1.5121807040643258</v>
      </c>
      <c r="Y216">
        <v>16.2</v>
      </c>
      <c r="AB216"/>
      <c r="AG216"/>
      <c r="AK216"/>
      <c r="AL216"/>
      <c r="AM216"/>
      <c r="AO216"/>
    </row>
    <row r="217" spans="1:41" hidden="1" x14ac:dyDescent="0.2">
      <c r="A217" t="s">
        <v>399</v>
      </c>
      <c r="B217" t="s">
        <v>400</v>
      </c>
      <c r="C217" t="s">
        <v>25</v>
      </c>
      <c r="D217" t="s">
        <v>103</v>
      </c>
      <c r="E217" s="3">
        <v>276</v>
      </c>
      <c r="G217" s="1">
        <v>78</v>
      </c>
      <c r="H217" s="1">
        <v>58</v>
      </c>
      <c r="I217" s="1">
        <v>52</v>
      </c>
      <c r="J217" s="1">
        <f t="shared" si="2"/>
        <v>-26</v>
      </c>
      <c r="K217" s="2">
        <v>3.1669024299172794</v>
      </c>
      <c r="L217" s="2">
        <v>5.4408434699563415</v>
      </c>
      <c r="M217" s="2">
        <v>8.627230475930606</v>
      </c>
      <c r="N217" s="2">
        <v>5.8864191382304583</v>
      </c>
      <c r="O217" s="2">
        <v>53.83734130859375</v>
      </c>
      <c r="P217" s="2">
        <v>92.494338989257812</v>
      </c>
      <c r="Q217" s="2">
        <v>146.66291809082031</v>
      </c>
      <c r="R217" s="2">
        <v>100.0691253499178</v>
      </c>
      <c r="S217" s="1">
        <v>48</v>
      </c>
      <c r="T217" s="1">
        <v>52</v>
      </c>
      <c r="U217" s="1">
        <v>230</v>
      </c>
      <c r="V217">
        <v>104.80090636392374</v>
      </c>
      <c r="W217">
        <v>0.7</v>
      </c>
      <c r="X217" s="2">
        <f>draft_board[[#This Row],[expected_ppg]]-draft_board[[#This Row],[median_ppg]]</f>
        <v>0.44557566827411677</v>
      </c>
      <c r="Y217">
        <v>16.3</v>
      </c>
      <c r="AB217"/>
      <c r="AG217"/>
      <c r="AK217"/>
      <c r="AL217"/>
      <c r="AM217"/>
      <c r="AO217"/>
    </row>
    <row r="218" spans="1:41" hidden="1" x14ac:dyDescent="0.2">
      <c r="A218" t="s">
        <v>303</v>
      </c>
      <c r="B218" t="s">
        <v>304</v>
      </c>
      <c r="C218" t="s">
        <v>25</v>
      </c>
      <c r="D218" t="s">
        <v>182</v>
      </c>
      <c r="E218" s="3">
        <v>156.5</v>
      </c>
      <c r="F218">
        <v>6</v>
      </c>
      <c r="G218" s="1">
        <v>45</v>
      </c>
      <c r="H218" s="1">
        <v>59</v>
      </c>
      <c r="I218" s="1">
        <v>67</v>
      </c>
      <c r="J218" s="1">
        <f t="shared" si="2"/>
        <v>22</v>
      </c>
      <c r="K218" s="2">
        <v>1.2028719958137064</v>
      </c>
      <c r="L218" s="2">
        <v>4.4055911793428306</v>
      </c>
      <c r="M218" s="2">
        <v>7.8298070571001839</v>
      </c>
      <c r="N218" s="2">
        <v>5.867375138037997</v>
      </c>
      <c r="O218" s="2">
        <v>20.448823928833008</v>
      </c>
      <c r="P218" s="2">
        <v>74.895050048828125</v>
      </c>
      <c r="Q218" s="2">
        <v>133.10671997070312</v>
      </c>
      <c r="R218" s="2">
        <v>99.745377346645952</v>
      </c>
      <c r="S218" s="1">
        <v>87</v>
      </c>
      <c r="T218" s="1">
        <v>60</v>
      </c>
      <c r="U218" s="1">
        <v>231</v>
      </c>
      <c r="V218">
        <v>93.894469450300519</v>
      </c>
      <c r="W218">
        <v>1</v>
      </c>
      <c r="X218" s="2">
        <f>draft_board[[#This Row],[expected_ppg]]-draft_board[[#This Row],[median_ppg]]</f>
        <v>1.4617839586951664</v>
      </c>
      <c r="Y218">
        <v>16</v>
      </c>
      <c r="AB218"/>
      <c r="AG218"/>
      <c r="AK218"/>
      <c r="AL218"/>
      <c r="AM218"/>
      <c r="AO218"/>
    </row>
    <row r="219" spans="1:41" hidden="1" x14ac:dyDescent="0.2">
      <c r="A219" t="s">
        <v>535</v>
      </c>
      <c r="B219" t="s">
        <v>536</v>
      </c>
      <c r="C219" t="s">
        <v>84</v>
      </c>
      <c r="D219" t="s">
        <v>65</v>
      </c>
      <c r="E219" s="3"/>
      <c r="F219">
        <v>5</v>
      </c>
      <c r="H219" s="1">
        <v>32</v>
      </c>
      <c r="I219" s="1">
        <v>31</v>
      </c>
      <c r="J219" s="1">
        <f t="shared" si="2"/>
        <v>31</v>
      </c>
      <c r="K219" s="2">
        <v>3.0377212973201977</v>
      </c>
      <c r="L219" s="2">
        <v>5.6931215174057908</v>
      </c>
      <c r="M219" s="2">
        <v>8.8507771211511947</v>
      </c>
      <c r="N219" s="2">
        <v>5.8528743878210916</v>
      </c>
      <c r="O219" s="2">
        <v>51.641262054443359</v>
      </c>
      <c r="P219" s="2">
        <v>96.783065795898438</v>
      </c>
      <c r="Q219" s="2">
        <v>150.46321105957031</v>
      </c>
      <c r="R219" s="2">
        <v>99.498864592958554</v>
      </c>
      <c r="S219" s="1">
        <v>39</v>
      </c>
      <c r="T219" s="1">
        <v>27</v>
      </c>
      <c r="U219" s="1">
        <v>232</v>
      </c>
      <c r="V219">
        <v>105.21664802523904</v>
      </c>
      <c r="W219">
        <v>1.7</v>
      </c>
      <c r="X219" s="2">
        <f>draft_board[[#This Row],[expected_ppg]]-draft_board[[#This Row],[median_ppg]]</f>
        <v>0.15975287041530084</v>
      </c>
      <c r="Y219">
        <v>15.3</v>
      </c>
      <c r="AB219"/>
      <c r="AG219"/>
      <c r="AK219"/>
      <c r="AL219"/>
      <c r="AM219"/>
      <c r="AO219"/>
    </row>
    <row r="220" spans="1:41" hidden="1" x14ac:dyDescent="0.2">
      <c r="A220" t="s">
        <v>539</v>
      </c>
      <c r="B220" t="s">
        <v>540</v>
      </c>
      <c r="C220" t="s">
        <v>32</v>
      </c>
      <c r="D220" t="s">
        <v>159</v>
      </c>
      <c r="E220" s="3"/>
      <c r="H220" s="1">
        <v>81</v>
      </c>
      <c r="I220" s="1">
        <v>81</v>
      </c>
      <c r="J220" s="1">
        <f t="shared" si="2"/>
        <v>81</v>
      </c>
      <c r="K220" s="2">
        <v>2.4908893809599033</v>
      </c>
      <c r="L220" s="2">
        <v>5.0763828053193931</v>
      </c>
      <c r="M220" s="2">
        <v>8.3716888427734375</v>
      </c>
      <c r="N220" s="2">
        <v>5.7935753206566112</v>
      </c>
      <c r="O220" s="2">
        <v>42.345119476318359</v>
      </c>
      <c r="P220" s="2">
        <v>86.298507690429688</v>
      </c>
      <c r="Q220" s="2">
        <v>142.31871032714844</v>
      </c>
      <c r="R220" s="2">
        <v>98.490780451162394</v>
      </c>
      <c r="S220" s="1">
        <v>91</v>
      </c>
      <c r="T220" s="1">
        <v>77</v>
      </c>
      <c r="U220" s="1">
        <v>234</v>
      </c>
      <c r="V220">
        <v>100.4100272189894</v>
      </c>
      <c r="W220">
        <v>0.9</v>
      </c>
      <c r="X220" s="2">
        <f>draft_board[[#This Row],[expected_ppg]]-draft_board[[#This Row],[median_ppg]]</f>
        <v>0.71719251533721806</v>
      </c>
      <c r="Y220">
        <v>16.100000000000001</v>
      </c>
      <c r="AB220"/>
      <c r="AG220"/>
      <c r="AK220"/>
      <c r="AL220"/>
      <c r="AM220"/>
      <c r="AO220"/>
    </row>
    <row r="221" spans="1:41" hidden="1" x14ac:dyDescent="0.2">
      <c r="A221" t="s">
        <v>397</v>
      </c>
      <c r="B221" t="s">
        <v>398</v>
      </c>
      <c r="C221" t="s">
        <v>32</v>
      </c>
      <c r="D221" t="s">
        <v>78</v>
      </c>
      <c r="E221" s="3">
        <v>272.75</v>
      </c>
      <c r="G221" s="1">
        <v>75</v>
      </c>
      <c r="H221" s="1">
        <v>82</v>
      </c>
      <c r="I221" s="1">
        <v>68</v>
      </c>
      <c r="J221" s="1">
        <f t="shared" si="2"/>
        <v>-7</v>
      </c>
      <c r="K221" s="2">
        <v>3.1225217931410847</v>
      </c>
      <c r="L221" s="2">
        <v>5.9922795015222885</v>
      </c>
      <c r="M221" s="2">
        <v>8.4038444967830888</v>
      </c>
      <c r="N221" s="2">
        <v>5.7441710969457427</v>
      </c>
      <c r="O221" s="2">
        <v>53.082870483398438</v>
      </c>
      <c r="P221" s="2">
        <v>101.86875152587891</v>
      </c>
      <c r="Q221" s="2">
        <v>142.8653564453125</v>
      </c>
      <c r="R221" s="2">
        <v>97.650908648077632</v>
      </c>
      <c r="S221" s="1">
        <v>73</v>
      </c>
      <c r="T221" s="1">
        <v>75</v>
      </c>
      <c r="U221" s="1">
        <v>236</v>
      </c>
      <c r="V221">
        <v>102.30163535431224</v>
      </c>
      <c r="W221">
        <v>1.8</v>
      </c>
      <c r="X221" s="2">
        <f>draft_board[[#This Row],[expected_ppg]]-draft_board[[#This Row],[median_ppg]]</f>
        <v>-0.24810840457654582</v>
      </c>
      <c r="Y221">
        <v>15.2</v>
      </c>
      <c r="AB221"/>
      <c r="AG221"/>
      <c r="AK221"/>
      <c r="AL221"/>
      <c r="AM221"/>
      <c r="AO221"/>
    </row>
    <row r="222" spans="1:41" hidden="1" x14ac:dyDescent="0.2">
      <c r="A222" t="s">
        <v>355</v>
      </c>
      <c r="B222" t="s">
        <v>356</v>
      </c>
      <c r="C222" t="s">
        <v>32</v>
      </c>
      <c r="D222" t="s">
        <v>65</v>
      </c>
      <c r="E222" s="3">
        <v>224.75</v>
      </c>
      <c r="G222" s="1">
        <v>64</v>
      </c>
      <c r="H222" s="1">
        <v>83</v>
      </c>
      <c r="I222" s="1">
        <v>97</v>
      </c>
      <c r="J222" s="1">
        <f t="shared" si="2"/>
        <v>33</v>
      </c>
      <c r="K222" s="2">
        <v>2.181503744686351</v>
      </c>
      <c r="L222" s="2">
        <v>4.6672462014590996</v>
      </c>
      <c r="M222" s="2">
        <v>7.9036775476792283</v>
      </c>
      <c r="N222" s="2">
        <v>5.6999638967572013</v>
      </c>
      <c r="O222" s="2">
        <v>37.085563659667969</v>
      </c>
      <c r="P222" s="2">
        <v>79.343185424804688</v>
      </c>
      <c r="Q222" s="2">
        <v>134.36251831054688</v>
      </c>
      <c r="R222" s="2">
        <v>96.899386244872417</v>
      </c>
      <c r="S222" s="1">
        <v>98</v>
      </c>
      <c r="T222" s="1">
        <v>83</v>
      </c>
      <c r="U222" s="1">
        <v>238</v>
      </c>
      <c r="V222">
        <v>96.175561347533872</v>
      </c>
      <c r="W222">
        <v>1</v>
      </c>
      <c r="X222" s="2">
        <f>draft_board[[#This Row],[expected_ppg]]-draft_board[[#This Row],[median_ppg]]</f>
        <v>1.0327176952981016</v>
      </c>
      <c r="Y222">
        <v>16</v>
      </c>
      <c r="AB222"/>
      <c r="AG222"/>
      <c r="AK222"/>
      <c r="AL222"/>
      <c r="AM222"/>
      <c r="AO222"/>
    </row>
    <row r="223" spans="1:41" hidden="1" x14ac:dyDescent="0.2">
      <c r="A223" t="s">
        <v>371</v>
      </c>
      <c r="B223" t="s">
        <v>372</v>
      </c>
      <c r="C223" t="s">
        <v>25</v>
      </c>
      <c r="D223" t="s">
        <v>106</v>
      </c>
      <c r="E223" s="3">
        <v>256</v>
      </c>
      <c r="G223" s="1">
        <v>69</v>
      </c>
      <c r="H223" s="1">
        <v>60</v>
      </c>
      <c r="I223" s="1">
        <v>60</v>
      </c>
      <c r="J223" s="1">
        <f t="shared" si="2"/>
        <v>-9</v>
      </c>
      <c r="K223" s="2">
        <v>2.3319764978745403</v>
      </c>
      <c r="L223" s="2">
        <v>5.0449214262120865</v>
      </c>
      <c r="M223" s="2">
        <v>8.2027812284581803</v>
      </c>
      <c r="N223" s="2">
        <v>5.612662320801121</v>
      </c>
      <c r="O223" s="2">
        <v>39.643600463867188</v>
      </c>
      <c r="P223" s="2">
        <v>85.763664245605469</v>
      </c>
      <c r="Q223" s="2">
        <v>139.44728088378906</v>
      </c>
      <c r="R223" s="2">
        <v>95.415259453619058</v>
      </c>
      <c r="S223" s="1">
        <v>65</v>
      </c>
      <c r="T223" s="1">
        <v>56</v>
      </c>
      <c r="U223" s="1">
        <v>241</v>
      </c>
      <c r="V223">
        <v>97.470534084719674</v>
      </c>
      <c r="W223">
        <v>1</v>
      </c>
      <c r="X223" s="2">
        <f>draft_board[[#This Row],[expected_ppg]]-draft_board[[#This Row],[median_ppg]]</f>
        <v>0.56774089458903454</v>
      </c>
      <c r="Y223">
        <v>16</v>
      </c>
      <c r="AB223"/>
      <c r="AG223"/>
      <c r="AK223"/>
      <c r="AL223"/>
      <c r="AM223"/>
      <c r="AO223"/>
    </row>
    <row r="224" spans="1:41" hidden="1" x14ac:dyDescent="0.2">
      <c r="A224" t="s">
        <v>435</v>
      </c>
      <c r="B224" t="s">
        <v>436</v>
      </c>
      <c r="C224" t="s">
        <v>32</v>
      </c>
      <c r="D224" t="s">
        <v>26</v>
      </c>
      <c r="E224" s="3">
        <v>323.33333329999999</v>
      </c>
      <c r="G224" s="1">
        <v>86</v>
      </c>
      <c r="H224" s="1">
        <v>84</v>
      </c>
      <c r="I224" s="1">
        <v>75</v>
      </c>
      <c r="J224" s="1">
        <f t="shared" si="2"/>
        <v>-11</v>
      </c>
      <c r="K224" s="2">
        <v>3.0408614663516773</v>
      </c>
      <c r="L224" s="2">
        <v>5.5527114868164062</v>
      </c>
      <c r="M224" s="2">
        <v>7.4561982996323533</v>
      </c>
      <c r="N224" s="2">
        <v>5.5634913182126953</v>
      </c>
      <c r="O224" s="2">
        <v>51.694644927978516</v>
      </c>
      <c r="P224" s="2">
        <v>94.396095275878906</v>
      </c>
      <c r="Q224" s="2">
        <v>126.75537109375</v>
      </c>
      <c r="R224" s="2">
        <v>94.579352409615822</v>
      </c>
      <c r="S224" s="1">
        <v>75</v>
      </c>
      <c r="T224" s="1">
        <v>92</v>
      </c>
      <c r="U224" s="1">
        <v>243</v>
      </c>
      <c r="V224">
        <v>95.655216518528604</v>
      </c>
      <c r="W224">
        <v>1</v>
      </c>
      <c r="X224" s="2">
        <f>draft_board[[#This Row],[expected_ppg]]-draft_board[[#This Row],[median_ppg]]</f>
        <v>1.0779831396289019E-2</v>
      </c>
      <c r="Y224">
        <v>16</v>
      </c>
      <c r="AB224"/>
      <c r="AG224"/>
      <c r="AK224"/>
      <c r="AL224"/>
      <c r="AM224"/>
      <c r="AO224"/>
    </row>
    <row r="225" spans="1:41" hidden="1" x14ac:dyDescent="0.2">
      <c r="A225" t="s">
        <v>377</v>
      </c>
      <c r="B225" t="s">
        <v>378</v>
      </c>
      <c r="C225" t="s">
        <v>25</v>
      </c>
      <c r="D225" t="s">
        <v>134</v>
      </c>
      <c r="E225" s="3">
        <v>261</v>
      </c>
      <c r="G225" s="1">
        <v>71</v>
      </c>
      <c r="H225" s="1">
        <v>61</v>
      </c>
      <c r="I225" s="1">
        <v>63</v>
      </c>
      <c r="J225" s="1">
        <f t="shared" si="2"/>
        <v>-8</v>
      </c>
      <c r="K225" s="2">
        <v>2.5234805836397061</v>
      </c>
      <c r="L225" s="2">
        <v>4.8832469267003678</v>
      </c>
      <c r="M225" s="2">
        <v>7.4457904591279869</v>
      </c>
      <c r="N225" s="2">
        <v>5.5541045529429685</v>
      </c>
      <c r="O225" s="2">
        <v>42.899169921875</v>
      </c>
      <c r="P225" s="2">
        <v>83.01519775390625</v>
      </c>
      <c r="Q225" s="2">
        <v>126.57843780517578</v>
      </c>
      <c r="R225" s="2">
        <v>94.419777400030469</v>
      </c>
      <c r="S225" s="1">
        <v>62</v>
      </c>
      <c r="T225" s="1">
        <v>64</v>
      </c>
      <c r="U225" s="1">
        <v>244</v>
      </c>
      <c r="V225">
        <v>93.76325402594297</v>
      </c>
      <c r="W225">
        <v>0.7</v>
      </c>
      <c r="X225" s="2">
        <f>draft_board[[#This Row],[expected_ppg]]-draft_board[[#This Row],[median_ppg]]</f>
        <v>0.6708576262426007</v>
      </c>
      <c r="Y225">
        <v>16.3</v>
      </c>
      <c r="AB225"/>
      <c r="AG225"/>
      <c r="AK225"/>
      <c r="AL225"/>
      <c r="AM225"/>
      <c r="AO225"/>
    </row>
    <row r="226" spans="1:41" hidden="1" x14ac:dyDescent="0.2">
      <c r="A226" t="s">
        <v>547</v>
      </c>
      <c r="B226" t="s">
        <v>548</v>
      </c>
      <c r="C226" t="s">
        <v>32</v>
      </c>
      <c r="D226" t="s">
        <v>91</v>
      </c>
      <c r="E226" s="3"/>
      <c r="H226" s="1">
        <v>85</v>
      </c>
      <c r="I226" s="1">
        <v>80</v>
      </c>
      <c r="J226" s="1">
        <f t="shared" si="2"/>
        <v>80</v>
      </c>
      <c r="K226" s="2">
        <v>2.9433122522690716</v>
      </c>
      <c r="L226" s="2">
        <v>5.155378902659697</v>
      </c>
      <c r="M226" s="2">
        <v>7.8436934527228859</v>
      </c>
      <c r="N226" s="2">
        <v>5.5534628659662424</v>
      </c>
      <c r="O226" s="2">
        <v>50.036308288574219</v>
      </c>
      <c r="P226" s="2">
        <v>87.641441345214844</v>
      </c>
      <c r="Q226" s="2">
        <v>133.34278869628906</v>
      </c>
      <c r="R226" s="2">
        <v>94.408868721426117</v>
      </c>
      <c r="S226" s="1">
        <v>78</v>
      </c>
      <c r="T226" s="1">
        <v>85</v>
      </c>
      <c r="U226" s="1">
        <v>245</v>
      </c>
      <c r="V226">
        <v>97.214532627314625</v>
      </c>
      <c r="W226">
        <v>1</v>
      </c>
      <c r="X226" s="2">
        <f>draft_board[[#This Row],[expected_ppg]]-draft_board[[#This Row],[median_ppg]]</f>
        <v>0.39808396330654539</v>
      </c>
      <c r="Y226">
        <v>16</v>
      </c>
      <c r="AB226"/>
      <c r="AG226"/>
      <c r="AK226"/>
      <c r="AL226"/>
      <c r="AM226"/>
      <c r="AO226"/>
    </row>
    <row r="227" spans="1:41" hidden="1" x14ac:dyDescent="0.2">
      <c r="A227" t="s">
        <v>545</v>
      </c>
      <c r="B227" t="s">
        <v>546</v>
      </c>
      <c r="C227" t="s">
        <v>32</v>
      </c>
      <c r="D227" t="s">
        <v>72</v>
      </c>
      <c r="E227" s="3"/>
      <c r="H227" s="1">
        <v>86</v>
      </c>
      <c r="I227" s="1">
        <v>84</v>
      </c>
      <c r="J227" s="1">
        <f t="shared" si="2"/>
        <v>84</v>
      </c>
      <c r="K227" s="2">
        <v>2.7122275408576515</v>
      </c>
      <c r="L227" s="2">
        <v>4.9798934038947609</v>
      </c>
      <c r="M227" s="2">
        <v>8.18597412109375</v>
      </c>
      <c r="N227" s="2">
        <v>5.5441014408227653</v>
      </c>
      <c r="O227" s="2">
        <v>46.107868194580078</v>
      </c>
      <c r="P227" s="2">
        <v>84.658187866210938</v>
      </c>
      <c r="Q227" s="2">
        <v>139.16156005859375</v>
      </c>
      <c r="R227" s="2">
        <v>94.249724493987017</v>
      </c>
      <c r="S227" s="1">
        <v>82</v>
      </c>
      <c r="T227" s="1">
        <v>79</v>
      </c>
      <c r="U227" s="1">
        <v>246</v>
      </c>
      <c r="V227">
        <v>98.094903903487648</v>
      </c>
      <c r="W227">
        <v>1</v>
      </c>
      <c r="X227" s="2">
        <f>draft_board[[#This Row],[expected_ppg]]-draft_board[[#This Row],[median_ppg]]</f>
        <v>0.56420803692800447</v>
      </c>
      <c r="Y227">
        <v>16</v>
      </c>
      <c r="AB227"/>
      <c r="AG227"/>
      <c r="AK227"/>
      <c r="AL227"/>
      <c r="AM227"/>
      <c r="AO227"/>
    </row>
    <row r="228" spans="1:41" hidden="1" x14ac:dyDescent="0.2">
      <c r="A228" t="s">
        <v>555</v>
      </c>
      <c r="B228" t="s">
        <v>556</v>
      </c>
      <c r="C228" t="s">
        <v>32</v>
      </c>
      <c r="D228" t="s">
        <v>53</v>
      </c>
      <c r="E228" s="3"/>
      <c r="H228" s="1">
        <v>87</v>
      </c>
      <c r="I228" s="1">
        <v>88</v>
      </c>
      <c r="J228" s="1">
        <f t="shared" si="2"/>
        <v>88</v>
      </c>
      <c r="K228" s="2">
        <v>2.5364788279813877</v>
      </c>
      <c r="L228" s="2">
        <v>4.9067369348862595</v>
      </c>
      <c r="M228" s="2">
        <v>6.783811681410846</v>
      </c>
      <c r="N228" s="2">
        <v>5.5436352938027298</v>
      </c>
      <c r="O228" s="2">
        <v>43.120140075683594</v>
      </c>
      <c r="P228" s="2">
        <v>83.414527893066406</v>
      </c>
      <c r="Q228" s="2">
        <v>115.32479858398438</v>
      </c>
      <c r="R228" s="2">
        <v>94.241799994646414</v>
      </c>
      <c r="S228" s="1">
        <v>89</v>
      </c>
      <c r="T228" s="1">
        <v>100</v>
      </c>
      <c r="U228" s="1">
        <v>247</v>
      </c>
      <c r="V228">
        <v>90.342367587655232</v>
      </c>
      <c r="W228">
        <v>1</v>
      </c>
      <c r="X228" s="2">
        <f>draft_board[[#This Row],[expected_ppg]]-draft_board[[#This Row],[median_ppg]]</f>
        <v>0.63689835891647029</v>
      </c>
      <c r="Y228">
        <v>16</v>
      </c>
      <c r="AB228"/>
      <c r="AG228"/>
      <c r="AK228"/>
      <c r="AL228"/>
      <c r="AM228"/>
      <c r="AO228"/>
    </row>
    <row r="229" spans="1:41" hidden="1" x14ac:dyDescent="0.2">
      <c r="A229" t="s">
        <v>345</v>
      </c>
      <c r="B229" t="s">
        <v>346</v>
      </c>
      <c r="C229" t="s">
        <v>25</v>
      </c>
      <c r="D229" t="s">
        <v>106</v>
      </c>
      <c r="E229" s="3">
        <v>215.5</v>
      </c>
      <c r="F229">
        <v>6</v>
      </c>
      <c r="G229" s="1">
        <v>57</v>
      </c>
      <c r="H229" s="1">
        <v>62</v>
      </c>
      <c r="I229" s="1">
        <v>74</v>
      </c>
      <c r="J229" s="1">
        <f t="shared" si="2"/>
        <v>17</v>
      </c>
      <c r="K229" s="2">
        <v>2.0898850384880516</v>
      </c>
      <c r="L229" s="2">
        <v>3.8144594080307903</v>
      </c>
      <c r="M229" s="2">
        <v>6.4367110308478859</v>
      </c>
      <c r="N229" s="2">
        <v>5.5305339149077328</v>
      </c>
      <c r="O229" s="2">
        <v>35.528045654296875</v>
      </c>
      <c r="P229" s="2">
        <v>64.845809936523438</v>
      </c>
      <c r="Q229" s="2">
        <v>109.42408752441406</v>
      </c>
      <c r="R229" s="2">
        <v>94.019076553431461</v>
      </c>
      <c r="S229" s="1">
        <v>68</v>
      </c>
      <c r="T229" s="1">
        <v>76</v>
      </c>
      <c r="U229" s="1">
        <v>248</v>
      </c>
      <c r="V229">
        <v>86.942373664899335</v>
      </c>
      <c r="W229">
        <v>2.9</v>
      </c>
      <c r="X229" s="2">
        <f>draft_board[[#This Row],[expected_ppg]]-draft_board[[#This Row],[median_ppg]]</f>
        <v>1.7160745068769425</v>
      </c>
      <c r="Y229">
        <v>14.1</v>
      </c>
      <c r="AB229"/>
      <c r="AG229"/>
      <c r="AK229"/>
      <c r="AL229"/>
      <c r="AM229"/>
      <c r="AO229"/>
    </row>
    <row r="230" spans="1:41" hidden="1" x14ac:dyDescent="0.2">
      <c r="A230" t="s">
        <v>551</v>
      </c>
      <c r="B230" t="s">
        <v>552</v>
      </c>
      <c r="C230" t="s">
        <v>25</v>
      </c>
      <c r="D230" t="s">
        <v>91</v>
      </c>
      <c r="E230" s="3"/>
      <c r="H230" s="1">
        <v>63</v>
      </c>
      <c r="I230" s="1">
        <v>76</v>
      </c>
      <c r="J230" s="1">
        <f t="shared" si="2"/>
        <v>76</v>
      </c>
      <c r="K230" s="2">
        <v>2.0301316205193016</v>
      </c>
      <c r="L230" s="2">
        <v>3.5096478181726791</v>
      </c>
      <c r="M230" s="2">
        <v>7.4837022669175095</v>
      </c>
      <c r="N230" s="2">
        <v>5.5299100754197283</v>
      </c>
      <c r="O230" s="2">
        <v>34.512237548828125</v>
      </c>
      <c r="P230" s="2">
        <v>59.664012908935547</v>
      </c>
      <c r="Q230" s="2">
        <v>127.22293853759766</v>
      </c>
      <c r="R230" s="2">
        <v>94.008471282135375</v>
      </c>
      <c r="S230" s="1">
        <v>69</v>
      </c>
      <c r="T230" s="1">
        <v>63</v>
      </c>
      <c r="U230" s="1">
        <v>249</v>
      </c>
      <c r="V230">
        <v>92.073564712112599</v>
      </c>
      <c r="W230">
        <v>1</v>
      </c>
      <c r="X230" s="2">
        <f>draft_board[[#This Row],[expected_ppg]]-draft_board[[#This Row],[median_ppg]]</f>
        <v>2.0202622572470492</v>
      </c>
      <c r="Y230">
        <v>16</v>
      </c>
      <c r="AB230"/>
      <c r="AG230"/>
      <c r="AK230"/>
      <c r="AL230"/>
      <c r="AM230"/>
      <c r="AO230"/>
    </row>
    <row r="231" spans="1:41" hidden="1" x14ac:dyDescent="0.2">
      <c r="A231" t="s">
        <v>381</v>
      </c>
      <c r="B231" t="s">
        <v>382</v>
      </c>
      <c r="C231" t="s">
        <v>25</v>
      </c>
      <c r="D231" t="s">
        <v>53</v>
      </c>
      <c r="E231" s="3">
        <v>262.5</v>
      </c>
      <c r="G231" s="1">
        <v>72</v>
      </c>
      <c r="H231" s="1">
        <v>64</v>
      </c>
      <c r="I231" s="1">
        <v>55</v>
      </c>
      <c r="J231" s="1">
        <f t="shared" si="2"/>
        <v>-17</v>
      </c>
      <c r="K231" s="2">
        <v>2.5834987864774814</v>
      </c>
      <c r="L231" s="2">
        <v>5.334488363826976</v>
      </c>
      <c r="M231" s="2">
        <v>6.6684287576114434</v>
      </c>
      <c r="N231" s="2">
        <v>5.410429044487767</v>
      </c>
      <c r="O231" s="2">
        <v>43.919479370117188</v>
      </c>
      <c r="P231" s="2">
        <v>90.686302185058594</v>
      </c>
      <c r="Q231" s="2">
        <v>113.36328887939453</v>
      </c>
      <c r="R231" s="2">
        <v>91.977293756292042</v>
      </c>
      <c r="S231" s="1">
        <v>58</v>
      </c>
      <c r="T231" s="1">
        <v>73</v>
      </c>
      <c r="U231" s="1">
        <v>250</v>
      </c>
      <c r="V231">
        <v>88.781529415987819</v>
      </c>
      <c r="W231">
        <v>1.2</v>
      </c>
      <c r="X231" s="2">
        <f>draft_board[[#This Row],[expected_ppg]]-draft_board[[#This Row],[median_ppg]]</f>
        <v>7.594068066079096E-2</v>
      </c>
      <c r="Y231">
        <v>15.8</v>
      </c>
      <c r="AB231"/>
      <c r="AG231"/>
      <c r="AK231"/>
      <c r="AL231"/>
      <c r="AM231"/>
      <c r="AO231"/>
    </row>
    <row r="232" spans="1:41" hidden="1" x14ac:dyDescent="0.2">
      <c r="A232" t="s">
        <v>401</v>
      </c>
      <c r="B232" t="s">
        <v>402</v>
      </c>
      <c r="C232" t="s">
        <v>25</v>
      </c>
      <c r="D232" t="s">
        <v>39</v>
      </c>
      <c r="E232" s="3">
        <v>276.33333329999999</v>
      </c>
      <c r="G232" s="1">
        <v>79</v>
      </c>
      <c r="H232" s="1">
        <v>65</v>
      </c>
      <c r="I232" s="1">
        <v>59</v>
      </c>
      <c r="J232" s="1">
        <f t="shared" si="2"/>
        <v>-20</v>
      </c>
      <c r="K232" s="2">
        <v>3.125038371366613</v>
      </c>
      <c r="L232" s="2">
        <v>5.0804407456341911</v>
      </c>
      <c r="M232" s="2">
        <v>8.1175097297219665</v>
      </c>
      <c r="N232" s="2">
        <v>5.3224019670669307</v>
      </c>
      <c r="O232" s="2">
        <v>53.125652313232422</v>
      </c>
      <c r="P232" s="2">
        <v>86.36749267578125</v>
      </c>
      <c r="Q232" s="2">
        <v>137.99766540527344</v>
      </c>
      <c r="R232" s="2">
        <v>90.480833440137815</v>
      </c>
      <c r="S232" s="1">
        <v>49</v>
      </c>
      <c r="T232" s="1">
        <v>58</v>
      </c>
      <c r="U232" s="1">
        <v>251</v>
      </c>
      <c r="V232">
        <v>97.26484680429742</v>
      </c>
      <c r="W232">
        <v>1</v>
      </c>
      <c r="X232" s="2">
        <f>draft_board[[#This Row],[expected_ppg]]-draft_board[[#This Row],[median_ppg]]</f>
        <v>0.24196122143273957</v>
      </c>
      <c r="Y232">
        <v>16</v>
      </c>
      <c r="AB232"/>
      <c r="AG232"/>
      <c r="AK232"/>
      <c r="AL232"/>
      <c r="AM232"/>
      <c r="AO232"/>
    </row>
    <row r="233" spans="1:41" hidden="1" x14ac:dyDescent="0.2">
      <c r="A233" t="s">
        <v>465</v>
      </c>
      <c r="B233" t="s">
        <v>466</v>
      </c>
      <c r="C233" t="s">
        <v>32</v>
      </c>
      <c r="D233" t="s">
        <v>42</v>
      </c>
      <c r="E233" s="3">
        <v>437</v>
      </c>
      <c r="G233" s="1">
        <v>98</v>
      </c>
      <c r="H233" s="1">
        <v>88</v>
      </c>
      <c r="I233" s="1">
        <v>95</v>
      </c>
      <c r="J233" s="1">
        <f t="shared" si="2"/>
        <v>-3</v>
      </c>
      <c r="K233" s="2">
        <v>2.0998295054716221</v>
      </c>
      <c r="L233" s="2">
        <v>4.8420284495634194</v>
      </c>
      <c r="M233" s="2">
        <v>7.6337926528033089</v>
      </c>
      <c r="N233" s="2">
        <v>5.2152694647897055</v>
      </c>
      <c r="O233" s="2">
        <v>35.697101593017578</v>
      </c>
      <c r="P233" s="2">
        <v>82.314483642578125</v>
      </c>
      <c r="Q233" s="2">
        <v>129.77447509765625</v>
      </c>
      <c r="R233" s="2">
        <v>88.659580901424988</v>
      </c>
      <c r="S233" s="1">
        <v>101</v>
      </c>
      <c r="T233" s="1">
        <v>87</v>
      </c>
      <c r="U233" s="1">
        <v>252</v>
      </c>
      <c r="V233">
        <v>90.401553298612882</v>
      </c>
      <c r="W233">
        <v>1.4</v>
      </c>
      <c r="X233" s="2">
        <f>draft_board[[#This Row],[expected_ppg]]-draft_board[[#This Row],[median_ppg]]</f>
        <v>0.37324101522628617</v>
      </c>
      <c r="Y233">
        <v>15.6</v>
      </c>
      <c r="AB233"/>
      <c r="AG233"/>
      <c r="AK233"/>
      <c r="AL233"/>
      <c r="AM233"/>
      <c r="AO233"/>
    </row>
    <row r="234" spans="1:41" hidden="1" x14ac:dyDescent="0.2">
      <c r="A234" t="s">
        <v>379</v>
      </c>
      <c r="B234" t="s">
        <v>380</v>
      </c>
      <c r="C234" t="s">
        <v>32</v>
      </c>
      <c r="D234" t="s">
        <v>91</v>
      </c>
      <c r="E234" s="3">
        <v>261.75</v>
      </c>
      <c r="G234" s="1">
        <v>71</v>
      </c>
      <c r="H234" s="1">
        <v>89</v>
      </c>
      <c r="I234" s="1">
        <v>72</v>
      </c>
      <c r="J234" s="1">
        <f t="shared" si="2"/>
        <v>1</v>
      </c>
      <c r="K234" s="2">
        <v>2.5714649873621322</v>
      </c>
      <c r="L234" s="2">
        <v>5.6984365126665901</v>
      </c>
      <c r="M234" s="2">
        <v>8.073763679055606</v>
      </c>
      <c r="N234" s="2">
        <v>5.1545328747947279</v>
      </c>
      <c r="O234" s="2">
        <v>43.71490478515625</v>
      </c>
      <c r="P234" s="2">
        <v>96.873420715332031</v>
      </c>
      <c r="Q234" s="2">
        <v>137.25398254394531</v>
      </c>
      <c r="R234" s="2">
        <v>87.627058871510371</v>
      </c>
      <c r="S234" s="1">
        <v>86</v>
      </c>
      <c r="T234" s="1">
        <v>81</v>
      </c>
      <c r="U234" s="1">
        <v>255</v>
      </c>
      <c r="V234">
        <v>93.732705155970024</v>
      </c>
      <c r="W234">
        <v>1.6</v>
      </c>
      <c r="X234" s="2">
        <f>draft_board[[#This Row],[expected_ppg]]-draft_board[[#This Row],[median_ppg]]</f>
        <v>-0.54390363787186224</v>
      </c>
      <c r="Y234">
        <v>15.4</v>
      </c>
      <c r="AB234"/>
      <c r="AG234"/>
      <c r="AK234"/>
      <c r="AL234"/>
      <c r="AM234"/>
      <c r="AO234"/>
    </row>
    <row r="235" spans="1:41" hidden="1" x14ac:dyDescent="0.2">
      <c r="A235" t="s">
        <v>419</v>
      </c>
      <c r="B235" t="s">
        <v>420</v>
      </c>
      <c r="C235" t="s">
        <v>25</v>
      </c>
      <c r="D235" t="s">
        <v>59</v>
      </c>
      <c r="E235" s="3">
        <v>300</v>
      </c>
      <c r="G235" s="1">
        <v>86</v>
      </c>
      <c r="H235" s="1">
        <v>66</v>
      </c>
      <c r="I235" s="1">
        <v>71</v>
      </c>
      <c r="J235" s="1">
        <f t="shared" si="2"/>
        <v>-15</v>
      </c>
      <c r="K235" s="2">
        <v>2.453865275663488</v>
      </c>
      <c r="L235" s="2">
        <v>4.2408927468692559</v>
      </c>
      <c r="M235" s="2">
        <v>6.1035622989430145</v>
      </c>
      <c r="N235" s="2">
        <v>5.1381287949998988</v>
      </c>
      <c r="O235" s="2">
        <v>41.715709686279297</v>
      </c>
      <c r="P235" s="2">
        <v>72.095176696777344</v>
      </c>
      <c r="Q235" s="2">
        <v>103.76055908203125</v>
      </c>
      <c r="R235" s="2">
        <v>87.348189514998282</v>
      </c>
      <c r="S235" s="1">
        <v>64</v>
      </c>
      <c r="T235" s="1">
        <v>82</v>
      </c>
      <c r="U235" s="1">
        <v>257</v>
      </c>
      <c r="V235">
        <v>83.145404419364382</v>
      </c>
      <c r="W235">
        <v>1</v>
      </c>
      <c r="X235" s="2">
        <f>draft_board[[#This Row],[expected_ppg]]-draft_board[[#This Row],[median_ppg]]</f>
        <v>0.89723604813064295</v>
      </c>
      <c r="Y235">
        <v>16</v>
      </c>
      <c r="AB235"/>
      <c r="AG235"/>
      <c r="AK235"/>
      <c r="AL235"/>
      <c r="AM235"/>
      <c r="AO235"/>
    </row>
    <row r="236" spans="1:41" hidden="1" x14ac:dyDescent="0.2">
      <c r="A236" t="s">
        <v>549</v>
      </c>
      <c r="B236" t="s">
        <v>550</v>
      </c>
      <c r="C236" t="s">
        <v>32</v>
      </c>
      <c r="D236" t="s">
        <v>29</v>
      </c>
      <c r="E236" s="3"/>
      <c r="H236" s="1">
        <v>90</v>
      </c>
      <c r="I236" s="1">
        <v>91</v>
      </c>
      <c r="J236" s="1">
        <f t="shared" si="2"/>
        <v>91</v>
      </c>
      <c r="K236" s="2">
        <v>2.306433958165786</v>
      </c>
      <c r="L236" s="2">
        <v>4.8744484396541816</v>
      </c>
      <c r="M236" s="2">
        <v>8.1370355942670045</v>
      </c>
      <c r="N236" s="2">
        <v>5.1263759080576721</v>
      </c>
      <c r="O236" s="2">
        <v>39.209377288818359</v>
      </c>
      <c r="P236" s="2">
        <v>82.865623474121094</v>
      </c>
      <c r="Q236" s="2">
        <v>138.32960510253906</v>
      </c>
      <c r="R236" s="2">
        <v>87.148390436980421</v>
      </c>
      <c r="S236" s="1">
        <v>94</v>
      </c>
      <c r="T236" s="1">
        <v>80</v>
      </c>
      <c r="U236" s="1">
        <v>258</v>
      </c>
      <c r="V236">
        <v>92.914952207015602</v>
      </c>
      <c r="W236">
        <v>0.6</v>
      </c>
      <c r="X236" s="2">
        <f>draft_board[[#This Row],[expected_ppg]]-draft_board[[#This Row],[median_ppg]]</f>
        <v>0.25192746840349045</v>
      </c>
      <c r="Y236">
        <v>16.399999999999999</v>
      </c>
      <c r="AB236"/>
      <c r="AG236"/>
      <c r="AK236"/>
      <c r="AL236"/>
      <c r="AM236"/>
      <c r="AO236"/>
    </row>
    <row r="237" spans="1:41" hidden="1" x14ac:dyDescent="0.2">
      <c r="A237" t="s">
        <v>559</v>
      </c>
      <c r="B237" t="s">
        <v>560</v>
      </c>
      <c r="C237" t="s">
        <v>32</v>
      </c>
      <c r="D237" t="s">
        <v>50</v>
      </c>
      <c r="E237" s="3"/>
      <c r="H237" s="1">
        <v>91</v>
      </c>
      <c r="I237" s="1">
        <v>96</v>
      </c>
      <c r="J237" s="1">
        <f t="shared" si="2"/>
        <v>96</v>
      </c>
      <c r="K237" s="2">
        <v>2.5670305139878216</v>
      </c>
      <c r="L237" s="2">
        <v>4.7969625136431526</v>
      </c>
      <c r="M237" s="2">
        <v>6.991775961483226</v>
      </c>
      <c r="N237" s="2">
        <v>5.1189858191945854</v>
      </c>
      <c r="O237" s="2">
        <v>43.639518737792969</v>
      </c>
      <c r="P237" s="2">
        <v>81.548362731933594</v>
      </c>
      <c r="Q237" s="2">
        <v>118.86019134521484</v>
      </c>
      <c r="R237" s="2">
        <v>87.022758926307958</v>
      </c>
      <c r="S237" s="1">
        <v>87</v>
      </c>
      <c r="T237" s="1">
        <v>98</v>
      </c>
      <c r="U237" s="1">
        <v>259</v>
      </c>
      <c r="V237">
        <v>87.897340614277027</v>
      </c>
      <c r="W237">
        <v>1</v>
      </c>
      <c r="X237" s="2">
        <f>draft_board[[#This Row],[expected_ppg]]-draft_board[[#This Row],[median_ppg]]</f>
        <v>0.32202330555143277</v>
      </c>
      <c r="Y237">
        <v>16</v>
      </c>
      <c r="AB237"/>
      <c r="AG237"/>
      <c r="AK237"/>
      <c r="AL237"/>
      <c r="AM237"/>
      <c r="AO237"/>
    </row>
    <row r="238" spans="1:41" hidden="1" x14ac:dyDescent="0.2">
      <c r="A238" t="s">
        <v>553</v>
      </c>
      <c r="B238" t="s">
        <v>554</v>
      </c>
      <c r="C238" t="s">
        <v>32</v>
      </c>
      <c r="D238" t="s">
        <v>159</v>
      </c>
      <c r="E238" s="3"/>
      <c r="H238" s="1">
        <v>92</v>
      </c>
      <c r="I238" s="1">
        <v>82</v>
      </c>
      <c r="J238" s="1">
        <f t="shared" si="2"/>
        <v>82</v>
      </c>
      <c r="K238" s="2">
        <v>2.0645325604607079</v>
      </c>
      <c r="L238" s="2">
        <v>5.0388713163488053</v>
      </c>
      <c r="M238" s="2">
        <v>8.055968340705423</v>
      </c>
      <c r="N238" s="2">
        <v>5.0749402063492051</v>
      </c>
      <c r="O238" s="2">
        <v>35.097053527832031</v>
      </c>
      <c r="P238" s="2">
        <v>85.660812377929688</v>
      </c>
      <c r="Q238" s="2">
        <v>136.95146179199219</v>
      </c>
      <c r="R238" s="2">
        <v>86.273983507936492</v>
      </c>
      <c r="S238" s="1">
        <v>102</v>
      </c>
      <c r="T238" s="1">
        <v>82</v>
      </c>
      <c r="U238" s="1">
        <v>261</v>
      </c>
      <c r="V238">
        <v>91.2418409971323</v>
      </c>
      <c r="W238">
        <v>1</v>
      </c>
      <c r="X238" s="2">
        <f>draft_board[[#This Row],[expected_ppg]]-draft_board[[#This Row],[median_ppg]]</f>
        <v>3.6068890000399811E-2</v>
      </c>
      <c r="Y238">
        <v>16</v>
      </c>
      <c r="AB238"/>
      <c r="AG238"/>
      <c r="AK238"/>
      <c r="AL238"/>
      <c r="AM238"/>
      <c r="AO238"/>
    </row>
    <row r="239" spans="1:41" hidden="1" x14ac:dyDescent="0.2">
      <c r="A239" t="s">
        <v>383</v>
      </c>
      <c r="B239" t="s">
        <v>384</v>
      </c>
      <c r="C239" t="s">
        <v>25</v>
      </c>
      <c r="D239" t="s">
        <v>100</v>
      </c>
      <c r="E239" s="3">
        <v>263.5</v>
      </c>
      <c r="G239" s="1">
        <v>73</v>
      </c>
      <c r="H239" s="1">
        <v>67</v>
      </c>
      <c r="I239" s="1">
        <v>50</v>
      </c>
      <c r="J239" s="1">
        <f t="shared" si="2"/>
        <v>-23</v>
      </c>
      <c r="K239" s="2">
        <v>2.5562544430003449</v>
      </c>
      <c r="L239" s="2">
        <v>5.4980235380284928</v>
      </c>
      <c r="M239" s="2">
        <v>8.6125317741842835</v>
      </c>
      <c r="N239" s="2">
        <v>5.0615097199110828</v>
      </c>
      <c r="O239" s="2">
        <v>43.456325531005859</v>
      </c>
      <c r="P239" s="2">
        <v>93.466400146484375</v>
      </c>
      <c r="Q239" s="2">
        <v>146.41304016113281</v>
      </c>
      <c r="R239" s="2">
        <v>86.045665238488411</v>
      </c>
      <c r="S239" s="1">
        <v>60</v>
      </c>
      <c r="T239" s="1">
        <v>54</v>
      </c>
      <c r="U239" s="1">
        <v>262</v>
      </c>
      <c r="V239">
        <v>95.638009773785228</v>
      </c>
      <c r="W239">
        <v>2.4</v>
      </c>
      <c r="X239" s="2">
        <f>draft_board[[#This Row],[expected_ppg]]-draft_board[[#This Row],[median_ppg]]</f>
        <v>-0.43651381811740997</v>
      </c>
      <c r="Y239">
        <v>14.6</v>
      </c>
      <c r="AB239"/>
      <c r="AG239"/>
      <c r="AK239"/>
      <c r="AL239"/>
      <c r="AM239"/>
      <c r="AO239"/>
    </row>
    <row r="240" spans="1:41" hidden="1" x14ac:dyDescent="0.2">
      <c r="A240" t="s">
        <v>439</v>
      </c>
      <c r="B240" t="s">
        <v>440</v>
      </c>
      <c r="C240" t="s">
        <v>32</v>
      </c>
      <c r="D240" t="s">
        <v>75</v>
      </c>
      <c r="E240" s="3">
        <v>339.66666670000001</v>
      </c>
      <c r="G240" s="1">
        <v>89</v>
      </c>
      <c r="H240" s="1">
        <v>93</v>
      </c>
      <c r="I240" s="1">
        <v>78</v>
      </c>
      <c r="J240" s="1">
        <f t="shared" si="2"/>
        <v>-11</v>
      </c>
      <c r="K240" s="2">
        <v>2.6306248833151424</v>
      </c>
      <c r="L240" s="2">
        <v>5.3362767836626839</v>
      </c>
      <c r="M240" s="2">
        <v>7.0106322344611671</v>
      </c>
      <c r="N240" s="2">
        <v>5.0057077182805694</v>
      </c>
      <c r="O240" s="2">
        <v>44.720623016357422</v>
      </c>
      <c r="P240" s="2">
        <v>90.716705322265625</v>
      </c>
      <c r="Q240" s="2">
        <v>119.18074798583984</v>
      </c>
      <c r="R240" s="2">
        <v>85.097031210769686</v>
      </c>
      <c r="S240" s="1">
        <v>83</v>
      </c>
      <c r="T240" s="1">
        <v>97</v>
      </c>
      <c r="U240" s="1">
        <v>263</v>
      </c>
      <c r="V240">
        <v>87.246864604408287</v>
      </c>
      <c r="W240">
        <v>0.8</v>
      </c>
      <c r="X240" s="2">
        <f>draft_board[[#This Row],[expected_ppg]]-draft_board[[#This Row],[median_ppg]]</f>
        <v>-0.3305690653821145</v>
      </c>
      <c r="Y240">
        <v>16.2</v>
      </c>
      <c r="AB240"/>
      <c r="AG240"/>
      <c r="AK240"/>
      <c r="AL240"/>
      <c r="AM240"/>
      <c r="AO240"/>
    </row>
    <row r="241" spans="1:41" hidden="1" x14ac:dyDescent="0.2">
      <c r="A241" t="s">
        <v>567</v>
      </c>
      <c r="B241" t="s">
        <v>568</v>
      </c>
      <c r="C241" t="s">
        <v>32</v>
      </c>
      <c r="D241" t="s">
        <v>42</v>
      </c>
      <c r="E241" s="3"/>
      <c r="H241" s="1">
        <v>94</v>
      </c>
      <c r="I241" s="1">
        <v>99</v>
      </c>
      <c r="J241" s="1">
        <f t="shared" si="2"/>
        <v>99</v>
      </c>
      <c r="K241" s="2">
        <v>2.5101823245777801</v>
      </c>
      <c r="L241" s="2">
        <v>4.4687437169692092</v>
      </c>
      <c r="M241" s="2">
        <v>6.1004898968864891</v>
      </c>
      <c r="N241" s="2">
        <v>4.9487713191615512</v>
      </c>
      <c r="O241" s="2">
        <v>42.673099517822266</v>
      </c>
      <c r="P241" s="2">
        <v>75.968643188476562</v>
      </c>
      <c r="Q241" s="2">
        <v>103.70832824707031</v>
      </c>
      <c r="R241" s="2">
        <v>84.129112425746371</v>
      </c>
      <c r="S241" s="1">
        <v>90</v>
      </c>
      <c r="T241" s="1">
        <v>107</v>
      </c>
      <c r="U241" s="1">
        <v>266</v>
      </c>
      <c r="V241">
        <v>81.711674590558729</v>
      </c>
      <c r="W241">
        <v>1</v>
      </c>
      <c r="X241" s="2">
        <f>draft_board[[#This Row],[expected_ppg]]-draft_board[[#This Row],[median_ppg]]</f>
        <v>0.48002760219234197</v>
      </c>
      <c r="Y241">
        <v>16</v>
      </c>
      <c r="AB241"/>
      <c r="AG241"/>
      <c r="AK241"/>
      <c r="AL241"/>
      <c r="AM241"/>
      <c r="AO241"/>
    </row>
    <row r="242" spans="1:41" hidden="1" x14ac:dyDescent="0.2">
      <c r="A242" t="s">
        <v>575</v>
      </c>
      <c r="B242" t="s">
        <v>576</v>
      </c>
      <c r="C242" t="s">
        <v>32</v>
      </c>
      <c r="D242" t="s">
        <v>156</v>
      </c>
      <c r="E242" s="3"/>
      <c r="H242" s="1">
        <v>95</v>
      </c>
      <c r="I242" s="1">
        <v>104</v>
      </c>
      <c r="J242" s="1">
        <f t="shared" si="2"/>
        <v>104</v>
      </c>
      <c r="K242" s="2">
        <v>2.3432673285989201</v>
      </c>
      <c r="L242" s="2">
        <v>4.1757363712086395</v>
      </c>
      <c r="M242" s="2">
        <v>5.9436097986557908</v>
      </c>
      <c r="N242" s="2">
        <v>4.9043595899981982</v>
      </c>
      <c r="O242" s="2">
        <v>39.835544586181641</v>
      </c>
      <c r="P242" s="2">
        <v>70.987518310546875</v>
      </c>
      <c r="Q242" s="2">
        <v>101.04136657714844</v>
      </c>
      <c r="R242" s="2">
        <v>83.374113029969365</v>
      </c>
      <c r="S242" s="1">
        <v>93</v>
      </c>
      <c r="T242" s="1">
        <v>109</v>
      </c>
      <c r="U242" s="1">
        <v>268</v>
      </c>
      <c r="V242">
        <v>79.966575405365546</v>
      </c>
      <c r="W242">
        <v>1</v>
      </c>
      <c r="X242" s="2">
        <f>draft_board[[#This Row],[expected_ppg]]-draft_board[[#This Row],[median_ppg]]</f>
        <v>0.72862321878955871</v>
      </c>
      <c r="Y242">
        <v>16</v>
      </c>
      <c r="AB242"/>
      <c r="AG242"/>
      <c r="AK242"/>
      <c r="AL242"/>
      <c r="AM242"/>
      <c r="AO242"/>
    </row>
    <row r="243" spans="1:41" hidden="1" x14ac:dyDescent="0.2">
      <c r="A243" t="s">
        <v>373</v>
      </c>
      <c r="B243" t="s">
        <v>374</v>
      </c>
      <c r="C243" t="s">
        <v>25</v>
      </c>
      <c r="D243" t="s">
        <v>33</v>
      </c>
      <c r="E243" s="3">
        <v>256</v>
      </c>
      <c r="G243" s="1">
        <v>69</v>
      </c>
      <c r="H243" s="1">
        <v>68</v>
      </c>
      <c r="I243" s="1">
        <v>61</v>
      </c>
      <c r="J243" s="1">
        <f t="shared" si="2"/>
        <v>-8</v>
      </c>
      <c r="K243" s="2">
        <v>2.5829925537109375</v>
      </c>
      <c r="L243" s="2">
        <v>5.018431719611673</v>
      </c>
      <c r="M243" s="2">
        <v>7.0377197265625</v>
      </c>
      <c r="N243" s="2">
        <v>4.8651217704738796</v>
      </c>
      <c r="O243" s="2">
        <v>43.910873413085938</v>
      </c>
      <c r="P243" s="2">
        <v>85.313339233398438</v>
      </c>
      <c r="Q243" s="2">
        <v>119.6412353515625</v>
      </c>
      <c r="R243" s="2">
        <v>82.707070098055951</v>
      </c>
      <c r="S243" s="1">
        <v>59</v>
      </c>
      <c r="T243" s="1">
        <v>69</v>
      </c>
      <c r="U243" s="1">
        <v>271</v>
      </c>
      <c r="V243">
        <v>86.028080337113906</v>
      </c>
      <c r="W243">
        <v>1.2</v>
      </c>
      <c r="X243" s="2">
        <f>draft_board[[#This Row],[expected_ppg]]-draft_board[[#This Row],[median_ppg]]</f>
        <v>-0.15330994913779339</v>
      </c>
      <c r="Y243">
        <v>15.8</v>
      </c>
      <c r="AB243"/>
      <c r="AG243"/>
      <c r="AK243"/>
      <c r="AL243"/>
      <c r="AM243"/>
      <c r="AO243"/>
    </row>
    <row r="244" spans="1:41" hidden="1" x14ac:dyDescent="0.2">
      <c r="A244" t="s">
        <v>557</v>
      </c>
      <c r="B244" t="s">
        <v>558</v>
      </c>
      <c r="C244" t="s">
        <v>32</v>
      </c>
      <c r="D244" t="s">
        <v>59</v>
      </c>
      <c r="E244" s="3"/>
      <c r="H244" s="1">
        <v>96</v>
      </c>
      <c r="I244" s="1">
        <v>85</v>
      </c>
      <c r="J244" s="1">
        <f t="shared" si="2"/>
        <v>85</v>
      </c>
      <c r="K244" s="2">
        <v>2.6009454166187957</v>
      </c>
      <c r="L244" s="2">
        <v>4.962248858283548</v>
      </c>
      <c r="M244" s="2">
        <v>7.8738295611213234</v>
      </c>
      <c r="N244" s="2">
        <v>4.8571723322987079</v>
      </c>
      <c r="O244" s="2">
        <v>44.216072082519531</v>
      </c>
      <c r="P244" s="2">
        <v>84.358230590820312</v>
      </c>
      <c r="Q244" s="2">
        <v>133.8551025390625</v>
      </c>
      <c r="R244" s="2">
        <v>82.571929649078029</v>
      </c>
      <c r="S244" s="1">
        <v>84</v>
      </c>
      <c r="T244" s="1">
        <v>84</v>
      </c>
      <c r="U244" s="1">
        <v>273</v>
      </c>
      <c r="V244">
        <v>90.285710002761675</v>
      </c>
      <c r="W244">
        <v>1</v>
      </c>
      <c r="X244" s="2">
        <f>draft_board[[#This Row],[expected_ppg]]-draft_board[[#This Row],[median_ppg]]</f>
        <v>-0.10507652598484007</v>
      </c>
      <c r="Y244">
        <v>16</v>
      </c>
      <c r="AB244"/>
      <c r="AG244"/>
      <c r="AK244"/>
      <c r="AL244"/>
      <c r="AM244"/>
      <c r="AO244"/>
    </row>
    <row r="245" spans="1:41" hidden="1" x14ac:dyDescent="0.2">
      <c r="A245" t="s">
        <v>569</v>
      </c>
      <c r="B245" t="s">
        <v>570</v>
      </c>
      <c r="C245" t="s">
        <v>25</v>
      </c>
      <c r="D245" t="s">
        <v>139</v>
      </c>
      <c r="E245" s="3"/>
      <c r="H245" s="1">
        <v>69</v>
      </c>
      <c r="I245" s="1">
        <v>75</v>
      </c>
      <c r="J245" s="1">
        <f t="shared" si="2"/>
        <v>75</v>
      </c>
      <c r="K245" s="2">
        <v>1.9894117467543657</v>
      </c>
      <c r="L245" s="2">
        <v>3.6408870921415439</v>
      </c>
      <c r="M245" s="2">
        <v>6.557097491096048</v>
      </c>
      <c r="N245" s="2">
        <v>4.831527166697839</v>
      </c>
      <c r="O245" s="2">
        <v>33.819999694824219</v>
      </c>
      <c r="P245" s="2">
        <v>61.89508056640625</v>
      </c>
      <c r="Q245" s="2">
        <v>111.47065734863281</v>
      </c>
      <c r="R245" s="2">
        <v>82.135961833863263</v>
      </c>
      <c r="S245" s="1">
        <v>71</v>
      </c>
      <c r="T245" s="1">
        <v>75</v>
      </c>
      <c r="U245" s="1">
        <v>274</v>
      </c>
      <c r="V245">
        <v>81.273178060486316</v>
      </c>
      <c r="W245">
        <v>0.8</v>
      </c>
      <c r="X245" s="2">
        <f>draft_board[[#This Row],[expected_ppg]]-draft_board[[#This Row],[median_ppg]]</f>
        <v>1.1906400745562951</v>
      </c>
      <c r="Y245">
        <v>16.2</v>
      </c>
      <c r="AB245"/>
      <c r="AG245"/>
      <c r="AK245"/>
      <c r="AL245"/>
      <c r="AM245"/>
      <c r="AO245"/>
    </row>
    <row r="246" spans="1:41" hidden="1" x14ac:dyDescent="0.2">
      <c r="A246" t="s">
        <v>561</v>
      </c>
      <c r="B246" t="s">
        <v>562</v>
      </c>
      <c r="C246" t="s">
        <v>32</v>
      </c>
      <c r="D246" t="s">
        <v>85</v>
      </c>
      <c r="E246" s="3"/>
      <c r="H246" s="1">
        <v>97</v>
      </c>
      <c r="I246" s="1">
        <v>102</v>
      </c>
      <c r="J246" s="1">
        <f t="shared" si="2"/>
        <v>102</v>
      </c>
      <c r="K246" s="2">
        <v>2.2819034352022061</v>
      </c>
      <c r="L246" s="2">
        <v>4.247037999770221</v>
      </c>
      <c r="M246" s="2">
        <v>7.2925675336052391</v>
      </c>
      <c r="N246" s="2">
        <v>4.8304510052499579</v>
      </c>
      <c r="O246" s="2">
        <v>38.7923583984375</v>
      </c>
      <c r="P246" s="2">
        <v>72.19964599609375</v>
      </c>
      <c r="Q246" s="2">
        <v>123.97364807128906</v>
      </c>
      <c r="R246" s="2">
        <v>82.117667089249281</v>
      </c>
      <c r="S246" s="1">
        <v>95</v>
      </c>
      <c r="T246" s="1">
        <v>93</v>
      </c>
      <c r="U246" s="1">
        <v>275</v>
      </c>
      <c r="V246">
        <v>86.009399645698863</v>
      </c>
      <c r="W246">
        <v>0.5</v>
      </c>
      <c r="X246" s="2">
        <f>draft_board[[#This Row],[expected_ppg]]-draft_board[[#This Row],[median_ppg]]</f>
        <v>0.58341300547973685</v>
      </c>
      <c r="Y246">
        <v>16.5</v>
      </c>
      <c r="AB246"/>
      <c r="AG246"/>
      <c r="AK246"/>
      <c r="AL246"/>
      <c r="AM246"/>
      <c r="AO246"/>
    </row>
    <row r="247" spans="1:41" hidden="1" x14ac:dyDescent="0.2">
      <c r="A247" t="s">
        <v>445</v>
      </c>
      <c r="B247" t="s">
        <v>446</v>
      </c>
      <c r="C247" t="s">
        <v>32</v>
      </c>
      <c r="D247" t="s">
        <v>65</v>
      </c>
      <c r="E247" s="3">
        <v>350</v>
      </c>
      <c r="G247" s="1">
        <v>91</v>
      </c>
      <c r="H247" s="1">
        <v>98</v>
      </c>
      <c r="I247" s="1">
        <v>76</v>
      </c>
      <c r="J247" s="1">
        <f t="shared" si="2"/>
        <v>-15</v>
      </c>
      <c r="K247" s="2">
        <v>2.5640705333036533</v>
      </c>
      <c r="L247" s="2">
        <v>5.3976350672104783</v>
      </c>
      <c r="M247" s="2">
        <v>7.586151123046875</v>
      </c>
      <c r="N247" s="2">
        <v>4.8208062409454087</v>
      </c>
      <c r="O247" s="2">
        <v>43.589199066162109</v>
      </c>
      <c r="P247" s="2">
        <v>91.759796142578125</v>
      </c>
      <c r="Q247" s="2">
        <v>128.96456909179688</v>
      </c>
      <c r="R247" s="2">
        <v>81.953706096071954</v>
      </c>
      <c r="S247" s="1">
        <v>88</v>
      </c>
      <c r="T247" s="1">
        <v>88</v>
      </c>
      <c r="U247" s="1">
        <v>276</v>
      </c>
      <c r="V247">
        <v>88.384063588807464</v>
      </c>
      <c r="W247">
        <v>0.5</v>
      </c>
      <c r="X247" s="2">
        <f>draft_board[[#This Row],[expected_ppg]]-draft_board[[#This Row],[median_ppg]]</f>
        <v>-0.57682882626506959</v>
      </c>
      <c r="Y247">
        <v>16.5</v>
      </c>
      <c r="AB247"/>
      <c r="AG247"/>
      <c r="AK247"/>
      <c r="AL247"/>
      <c r="AM247"/>
      <c r="AO247"/>
    </row>
    <row r="248" spans="1:41" hidden="1" x14ac:dyDescent="0.2">
      <c r="A248" t="s">
        <v>369</v>
      </c>
      <c r="B248" t="s">
        <v>370</v>
      </c>
      <c r="C248" t="s">
        <v>25</v>
      </c>
      <c r="D248" t="s">
        <v>53</v>
      </c>
      <c r="E248" s="3">
        <v>255.75</v>
      </c>
      <c r="G248" s="1">
        <v>68</v>
      </c>
      <c r="H248" s="1">
        <v>70</v>
      </c>
      <c r="I248" s="1">
        <v>54</v>
      </c>
      <c r="J248" s="1">
        <f t="shared" si="2"/>
        <v>-14</v>
      </c>
      <c r="K248" s="2">
        <v>2.6454638312844669</v>
      </c>
      <c r="L248" s="2">
        <v>5.4127834544462319</v>
      </c>
      <c r="M248" s="2">
        <v>6.4200520234949447</v>
      </c>
      <c r="N248" s="2">
        <v>4.7498904118084813</v>
      </c>
      <c r="O248" s="2">
        <v>44.972885131835938</v>
      </c>
      <c r="P248" s="2">
        <v>92.017318725585938</v>
      </c>
      <c r="Q248" s="2">
        <v>109.14088439941406</v>
      </c>
      <c r="R248" s="2">
        <v>80.74813700074418</v>
      </c>
      <c r="S248" s="1">
        <v>57</v>
      </c>
      <c r="T248" s="1">
        <v>77</v>
      </c>
      <c r="U248" s="1">
        <v>279</v>
      </c>
      <c r="V248">
        <v>82.110910846563485</v>
      </c>
      <c r="W248">
        <v>1.2</v>
      </c>
      <c r="X248" s="2">
        <f>draft_board[[#This Row],[expected_ppg]]-draft_board[[#This Row],[median_ppg]]</f>
        <v>-0.66289304263775062</v>
      </c>
      <c r="Y248">
        <v>15.8</v>
      </c>
      <c r="AB248"/>
      <c r="AG248"/>
      <c r="AK248"/>
      <c r="AL248"/>
      <c r="AM248"/>
      <c r="AO248"/>
    </row>
    <row r="249" spans="1:41" hidden="1" x14ac:dyDescent="0.2">
      <c r="A249" t="s">
        <v>573</v>
      </c>
      <c r="B249" t="s">
        <v>574</v>
      </c>
      <c r="C249" t="s">
        <v>32</v>
      </c>
      <c r="D249" t="s">
        <v>199</v>
      </c>
      <c r="E249" s="3"/>
      <c r="H249" s="1">
        <v>100</v>
      </c>
      <c r="I249" s="1">
        <v>100</v>
      </c>
      <c r="J249" s="1">
        <f t="shared" si="2"/>
        <v>100</v>
      </c>
      <c r="K249" s="2">
        <v>2.4663990245145908</v>
      </c>
      <c r="L249" s="2">
        <v>4.2614714678596046</v>
      </c>
      <c r="M249" s="2">
        <v>6.2432641422047332</v>
      </c>
      <c r="N249" s="2">
        <v>4.7375255318776901</v>
      </c>
      <c r="O249" s="2">
        <v>41.928783416748047</v>
      </c>
      <c r="P249" s="2">
        <v>72.445014953613281</v>
      </c>
      <c r="Q249" s="2">
        <v>106.13549041748047</v>
      </c>
      <c r="R249" s="2">
        <v>80.537934041920735</v>
      </c>
      <c r="S249" s="1">
        <v>92</v>
      </c>
      <c r="T249" s="1">
        <v>104</v>
      </c>
      <c r="U249" s="1">
        <v>280</v>
      </c>
      <c r="V249">
        <v>80.495370829554119</v>
      </c>
      <c r="W249">
        <v>0.7</v>
      </c>
      <c r="X249" s="2">
        <f>draft_board[[#This Row],[expected_ppg]]-draft_board[[#This Row],[median_ppg]]</f>
        <v>0.47605406401808548</v>
      </c>
      <c r="Y249">
        <v>16.3</v>
      </c>
      <c r="AB249"/>
      <c r="AG249"/>
      <c r="AK249"/>
      <c r="AL249"/>
      <c r="AM249"/>
      <c r="AO249"/>
    </row>
    <row r="250" spans="1:41" hidden="1" x14ac:dyDescent="0.2">
      <c r="A250" t="s">
        <v>563</v>
      </c>
      <c r="B250" t="s">
        <v>564</v>
      </c>
      <c r="C250" t="s">
        <v>32</v>
      </c>
      <c r="D250" t="s">
        <v>156</v>
      </c>
      <c r="E250" s="3"/>
      <c r="H250" s="1">
        <v>101</v>
      </c>
      <c r="I250" s="1">
        <v>98</v>
      </c>
      <c r="J250" s="1">
        <f t="shared" si="2"/>
        <v>98</v>
      </c>
      <c r="K250" s="2">
        <v>1.7619023042566635</v>
      </c>
      <c r="L250" s="2">
        <v>4.5446817734662224</v>
      </c>
      <c r="M250" s="2">
        <v>7.5211818919462319</v>
      </c>
      <c r="N250" s="2">
        <v>4.729513269620842</v>
      </c>
      <c r="O250" s="2">
        <v>29.952339172363281</v>
      </c>
      <c r="P250" s="2">
        <v>77.259590148925781</v>
      </c>
      <c r="Q250" s="2">
        <v>127.86009216308594</v>
      </c>
      <c r="R250" s="2">
        <v>80.40172558355431</v>
      </c>
      <c r="S250" s="1">
        <v>110</v>
      </c>
      <c r="T250" s="1">
        <v>90</v>
      </c>
      <c r="U250" s="1">
        <v>282</v>
      </c>
      <c r="V250">
        <v>84.549358275175578</v>
      </c>
      <c r="W250">
        <v>1.3</v>
      </c>
      <c r="X250" s="2">
        <f>draft_board[[#This Row],[expected_ppg]]-draft_board[[#This Row],[median_ppg]]</f>
        <v>0.18483149615461958</v>
      </c>
      <c r="Y250">
        <v>15.7</v>
      </c>
      <c r="AB250"/>
      <c r="AG250"/>
      <c r="AK250"/>
      <c r="AL250"/>
      <c r="AM250"/>
      <c r="AO250"/>
    </row>
    <row r="251" spans="1:41" hidden="1" x14ac:dyDescent="0.2">
      <c r="A251" t="s">
        <v>441</v>
      </c>
      <c r="B251" t="s">
        <v>442</v>
      </c>
      <c r="C251" t="s">
        <v>25</v>
      </c>
      <c r="D251" t="s">
        <v>72</v>
      </c>
      <c r="E251" s="3">
        <v>340.5</v>
      </c>
      <c r="G251" s="1">
        <v>98</v>
      </c>
      <c r="H251" s="1">
        <v>71</v>
      </c>
      <c r="I251" s="1">
        <v>62</v>
      </c>
      <c r="J251" s="1">
        <f t="shared" si="2"/>
        <v>-36</v>
      </c>
      <c r="K251" s="2">
        <v>1.6362429226146025</v>
      </c>
      <c r="L251" s="2">
        <v>4.923188153435202</v>
      </c>
      <c r="M251" s="2">
        <v>8.3388223087086395</v>
      </c>
      <c r="N251" s="2">
        <v>4.7089748100585158</v>
      </c>
      <c r="O251" s="2">
        <v>27.816129684448242</v>
      </c>
      <c r="P251" s="2">
        <v>83.694198608398438</v>
      </c>
      <c r="Q251" s="2">
        <v>141.75997924804688</v>
      </c>
      <c r="R251" s="2">
        <v>80.052571770994774</v>
      </c>
      <c r="S251" s="1">
        <v>80</v>
      </c>
      <c r="T251" s="1">
        <v>55</v>
      </c>
      <c r="U251" s="1">
        <v>283</v>
      </c>
      <c r="V251">
        <v>88.117505596801109</v>
      </c>
      <c r="W251">
        <v>0.4</v>
      </c>
      <c r="X251" s="2">
        <f>draft_board[[#This Row],[expected_ppg]]-draft_board[[#This Row],[median_ppg]]</f>
        <v>-0.21421334337668618</v>
      </c>
      <c r="Y251">
        <v>16.600000000000001</v>
      </c>
      <c r="AB251"/>
      <c r="AG251"/>
      <c r="AK251"/>
      <c r="AL251"/>
      <c r="AM251"/>
      <c r="AO251"/>
    </row>
    <row r="252" spans="1:41" hidden="1" x14ac:dyDescent="0.2">
      <c r="A252" t="s">
        <v>565</v>
      </c>
      <c r="B252" t="s">
        <v>566</v>
      </c>
      <c r="C252" t="s">
        <v>32</v>
      </c>
      <c r="D252" t="s">
        <v>156</v>
      </c>
      <c r="E252" s="3"/>
      <c r="H252" s="1">
        <v>102</v>
      </c>
      <c r="I252" s="1">
        <v>94</v>
      </c>
      <c r="J252" s="1">
        <f t="shared" si="2"/>
        <v>94</v>
      </c>
      <c r="K252" s="2">
        <v>2.1856770234949447</v>
      </c>
      <c r="L252" s="2">
        <v>4.8441099279067092</v>
      </c>
      <c r="M252" s="2">
        <v>6.9706667731789977</v>
      </c>
      <c r="N252" s="2">
        <v>4.6891121737792636</v>
      </c>
      <c r="O252" s="2">
        <v>37.156509399414062</v>
      </c>
      <c r="P252" s="2">
        <v>82.349868774414062</v>
      </c>
      <c r="Q252" s="2">
        <v>118.50133514404297</v>
      </c>
      <c r="R252" s="2">
        <v>79.714906954247482</v>
      </c>
      <c r="S252" s="1">
        <v>97</v>
      </c>
      <c r="T252" s="1">
        <v>99</v>
      </c>
      <c r="U252" s="1">
        <v>284</v>
      </c>
      <c r="V252">
        <v>82.839155900219438</v>
      </c>
      <c r="W252">
        <v>0.7</v>
      </c>
      <c r="X252" s="2">
        <f>draft_board[[#This Row],[expected_ppg]]-draft_board[[#This Row],[median_ppg]]</f>
        <v>-0.15499775412744565</v>
      </c>
      <c r="Y252">
        <v>16.3</v>
      </c>
      <c r="AB252"/>
      <c r="AG252"/>
      <c r="AK252"/>
      <c r="AL252"/>
      <c r="AM252"/>
      <c r="AO252"/>
    </row>
    <row r="253" spans="1:41" hidden="1" x14ac:dyDescent="0.2">
      <c r="A253" s="8" t="s">
        <v>349</v>
      </c>
      <c r="B253" s="8" t="s">
        <v>350</v>
      </c>
      <c r="C253" s="8" t="s">
        <v>25</v>
      </c>
      <c r="D253" s="8" t="s">
        <v>50</v>
      </c>
      <c r="E253" s="10">
        <v>221</v>
      </c>
      <c r="F253" s="8">
        <v>6</v>
      </c>
      <c r="G253" s="9">
        <v>59</v>
      </c>
      <c r="H253" s="9">
        <v>72</v>
      </c>
      <c r="I253" s="9">
        <v>73</v>
      </c>
      <c r="J253" s="9">
        <f t="shared" si="2"/>
        <v>14</v>
      </c>
      <c r="K253" s="11">
        <v>1.6807165706858915</v>
      </c>
      <c r="L253" s="11">
        <v>3.8381244435029873</v>
      </c>
      <c r="M253" s="11">
        <v>6.37322998046875</v>
      </c>
      <c r="N253" s="11">
        <v>4.6596450129203744</v>
      </c>
      <c r="O253" s="11">
        <v>28.572181701660156</v>
      </c>
      <c r="P253" s="11">
        <v>65.248115539550781</v>
      </c>
      <c r="Q253" s="11">
        <v>108.34490966796875</v>
      </c>
      <c r="R253" s="11">
        <v>79.213965219646369</v>
      </c>
      <c r="S253" s="9">
        <v>79</v>
      </c>
      <c r="T253" s="9">
        <v>79</v>
      </c>
      <c r="U253" s="9">
        <v>287</v>
      </c>
      <c r="V253" s="8">
        <v>77.824891850545839</v>
      </c>
      <c r="W253" s="8">
        <v>1</v>
      </c>
      <c r="X253" s="11">
        <f>draft_board[[#This Row],[expected_ppg]]-draft_board[[#This Row],[median_ppg]]</f>
        <v>0.82152056941738705</v>
      </c>
      <c r="Y253" s="8">
        <v>16</v>
      </c>
      <c r="AB253"/>
      <c r="AG253"/>
      <c r="AK253"/>
      <c r="AL253"/>
      <c r="AM253"/>
      <c r="AO253"/>
    </row>
    <row r="254" spans="1:41" hidden="1" x14ac:dyDescent="0.2">
      <c r="A254" t="s">
        <v>315</v>
      </c>
      <c r="B254" t="s">
        <v>316</v>
      </c>
      <c r="C254" t="s">
        <v>25</v>
      </c>
      <c r="D254" t="s">
        <v>29</v>
      </c>
      <c r="E254" s="3">
        <v>174.5</v>
      </c>
      <c r="F254">
        <v>6</v>
      </c>
      <c r="G254" s="1">
        <v>49</v>
      </c>
      <c r="H254" s="1">
        <v>73</v>
      </c>
      <c r="I254" s="1">
        <v>51</v>
      </c>
      <c r="J254" s="1">
        <f t="shared" si="2"/>
        <v>2</v>
      </c>
      <c r="K254" s="2">
        <v>2.9034399144789753</v>
      </c>
      <c r="L254" s="2">
        <v>5.4707614674287681</v>
      </c>
      <c r="M254" s="2">
        <v>6.5649773092830879</v>
      </c>
      <c r="N254" s="2">
        <v>4.5725180670997929</v>
      </c>
      <c r="O254" s="2">
        <v>49.358478546142578</v>
      </c>
      <c r="P254" s="2">
        <v>93.002944946289062</v>
      </c>
      <c r="Q254" s="2">
        <v>111.6046142578125</v>
      </c>
      <c r="R254" s="2">
        <v>77.73280714069648</v>
      </c>
      <c r="S254" s="1">
        <v>54</v>
      </c>
      <c r="T254" s="1">
        <v>74</v>
      </c>
      <c r="U254" s="1">
        <v>290</v>
      </c>
      <c r="V254">
        <v>82.219483556920508</v>
      </c>
      <c r="W254">
        <v>1</v>
      </c>
      <c r="X254" s="2">
        <f>draft_board[[#This Row],[expected_ppg]]-draft_board[[#This Row],[median_ppg]]</f>
        <v>-0.89824340032897521</v>
      </c>
      <c r="Y254">
        <v>16</v>
      </c>
      <c r="AB254"/>
      <c r="AG254"/>
      <c r="AK254"/>
      <c r="AL254"/>
      <c r="AM254"/>
      <c r="AO254"/>
    </row>
    <row r="255" spans="1:41" hidden="1" x14ac:dyDescent="0.2">
      <c r="A255" t="s">
        <v>451</v>
      </c>
      <c r="B255" t="s">
        <v>452</v>
      </c>
      <c r="C255" t="s">
        <v>25</v>
      </c>
      <c r="D255" t="s">
        <v>159</v>
      </c>
      <c r="E255" s="3">
        <v>362.5</v>
      </c>
      <c r="G255" s="1">
        <v>103</v>
      </c>
      <c r="H255" s="1">
        <v>74</v>
      </c>
      <c r="I255" s="1">
        <v>87</v>
      </c>
      <c r="J255" s="1">
        <f t="shared" si="2"/>
        <v>-16</v>
      </c>
      <c r="K255" s="2">
        <v>0.40738669563742247</v>
      </c>
      <c r="L255" s="2">
        <v>2.9418772529153263</v>
      </c>
      <c r="M255" s="2">
        <v>6.1928468592026658</v>
      </c>
      <c r="N255" s="2">
        <v>4.4573290398038266</v>
      </c>
      <c r="O255" s="2">
        <v>6.9255738258361816</v>
      </c>
      <c r="P255" s="2">
        <v>50.011913299560547</v>
      </c>
      <c r="Q255" s="2">
        <v>105.27839660644531</v>
      </c>
      <c r="R255" s="2">
        <v>75.774593676665049</v>
      </c>
      <c r="S255" s="1">
        <v>111</v>
      </c>
      <c r="T255" s="1">
        <v>81</v>
      </c>
      <c r="U255" s="1">
        <v>292</v>
      </c>
      <c r="V255">
        <v>70.855930585433356</v>
      </c>
      <c r="W255">
        <v>1</v>
      </c>
      <c r="X255" s="2">
        <f>draft_board[[#This Row],[expected_ppg]]-draft_board[[#This Row],[median_ppg]]</f>
        <v>1.5154517868885002</v>
      </c>
      <c r="Y255">
        <v>16</v>
      </c>
      <c r="AB255"/>
      <c r="AG255"/>
      <c r="AK255"/>
      <c r="AL255"/>
      <c r="AM255"/>
      <c r="AO255"/>
    </row>
    <row r="256" spans="1:41" hidden="1" x14ac:dyDescent="0.2">
      <c r="A256" t="s">
        <v>585</v>
      </c>
      <c r="B256" t="s">
        <v>586</v>
      </c>
      <c r="C256" t="s">
        <v>25</v>
      </c>
      <c r="D256" t="s">
        <v>129</v>
      </c>
      <c r="E256" s="3"/>
      <c r="H256" s="1">
        <v>75</v>
      </c>
      <c r="I256" s="1">
        <v>78</v>
      </c>
      <c r="J256" s="1">
        <f t="shared" si="2"/>
        <v>78</v>
      </c>
      <c r="K256" s="2">
        <v>1.1355865702909582</v>
      </c>
      <c r="L256" s="2">
        <v>3.4936624414780559</v>
      </c>
      <c r="M256" s="2">
        <v>6.241348715389476</v>
      </c>
      <c r="N256" s="2">
        <v>4.3852969042772925</v>
      </c>
      <c r="O256" s="2">
        <v>19.304971694946289</v>
      </c>
      <c r="P256" s="2">
        <v>59.392261505126953</v>
      </c>
      <c r="Q256" s="2">
        <v>106.10292816162109</v>
      </c>
      <c r="R256" s="2">
        <v>74.550047372713976</v>
      </c>
      <c r="S256" s="1">
        <v>89</v>
      </c>
      <c r="T256" s="1">
        <v>80</v>
      </c>
      <c r="U256" s="1">
        <v>295</v>
      </c>
      <c r="V256">
        <v>72.966896473832577</v>
      </c>
      <c r="W256">
        <v>1</v>
      </c>
      <c r="X256" s="2">
        <f>draft_board[[#This Row],[expected_ppg]]-draft_board[[#This Row],[median_ppg]]</f>
        <v>0.89163446279923653</v>
      </c>
      <c r="Y256">
        <v>16</v>
      </c>
      <c r="AB256"/>
      <c r="AG256"/>
      <c r="AK256"/>
      <c r="AL256"/>
      <c r="AM256"/>
      <c r="AO256"/>
    </row>
    <row r="257" spans="1:41" hidden="1" x14ac:dyDescent="0.2">
      <c r="A257" t="s">
        <v>571</v>
      </c>
      <c r="B257" t="s">
        <v>572</v>
      </c>
      <c r="C257" t="s">
        <v>32</v>
      </c>
      <c r="D257" t="s">
        <v>106</v>
      </c>
      <c r="E257" s="3"/>
      <c r="H257" s="1">
        <v>104</v>
      </c>
      <c r="I257" s="1">
        <v>87</v>
      </c>
      <c r="J257" s="1">
        <f t="shared" si="2"/>
        <v>87</v>
      </c>
      <c r="K257" s="2">
        <v>2.0195918363683365</v>
      </c>
      <c r="L257" s="2">
        <v>4.9471754186293655</v>
      </c>
      <c r="M257" s="2">
        <v>7.1914623484892006</v>
      </c>
      <c r="N257" s="2">
        <v>4.3840547486940062</v>
      </c>
      <c r="O257" s="2">
        <v>34.333061218261719</v>
      </c>
      <c r="P257" s="2">
        <v>84.101982116699219</v>
      </c>
      <c r="Q257" s="2">
        <v>122.25485992431641</v>
      </c>
      <c r="R257" s="2">
        <v>74.528930727798112</v>
      </c>
      <c r="S257" s="1">
        <v>104</v>
      </c>
      <c r="T257" s="1">
        <v>94</v>
      </c>
      <c r="U257" s="1">
        <v>296</v>
      </c>
      <c r="V257">
        <v>80.80753558484632</v>
      </c>
      <c r="W257">
        <v>1</v>
      </c>
      <c r="X257" s="2">
        <f>draft_board[[#This Row],[expected_ppg]]-draft_board[[#This Row],[median_ppg]]</f>
        <v>-0.56312066993535925</v>
      </c>
      <c r="Y257">
        <v>16</v>
      </c>
      <c r="AB257"/>
      <c r="AG257"/>
      <c r="AK257"/>
      <c r="AL257"/>
      <c r="AM257"/>
      <c r="AO257"/>
    </row>
    <row r="258" spans="1:41" hidden="1" x14ac:dyDescent="0.2">
      <c r="A258" t="s">
        <v>589</v>
      </c>
      <c r="B258" t="s">
        <v>590</v>
      </c>
      <c r="C258" t="s">
        <v>25</v>
      </c>
      <c r="D258" t="s">
        <v>45</v>
      </c>
      <c r="E258" s="3"/>
      <c r="H258" s="1">
        <v>76</v>
      </c>
      <c r="I258" s="1">
        <v>79</v>
      </c>
      <c r="J258" s="1">
        <f t="shared" ref="J258:J276" si="3">I258-G258</f>
        <v>79</v>
      </c>
      <c r="K258" s="2">
        <v>1.4728124281939339</v>
      </c>
      <c r="L258" s="2">
        <v>3.4319742988137638</v>
      </c>
      <c r="M258" s="2">
        <v>5.9326831593232994</v>
      </c>
      <c r="N258" s="2">
        <v>4.3113581437612547</v>
      </c>
      <c r="O258" s="2">
        <v>25.037811279296875</v>
      </c>
      <c r="P258" s="2">
        <v>58.343563079833984</v>
      </c>
      <c r="Q258" s="2">
        <v>100.85561370849609</v>
      </c>
      <c r="R258" s="2">
        <v>73.293088443941329</v>
      </c>
      <c r="S258" s="1">
        <v>84</v>
      </c>
      <c r="T258" s="1">
        <v>83</v>
      </c>
      <c r="U258" s="1">
        <v>300</v>
      </c>
      <c r="V258">
        <v>71.910790590378866</v>
      </c>
      <c r="W258">
        <v>0.8</v>
      </c>
      <c r="X258" s="2">
        <f>draft_board[[#This Row],[expected_ppg]]-draft_board[[#This Row],[median_ppg]]</f>
        <v>0.87938384494749089</v>
      </c>
      <c r="Y258">
        <v>16.2</v>
      </c>
      <c r="AB258"/>
      <c r="AG258"/>
      <c r="AK258"/>
      <c r="AL258"/>
      <c r="AM258"/>
      <c r="AO258"/>
    </row>
    <row r="259" spans="1:41" hidden="1" x14ac:dyDescent="0.2">
      <c r="A259" t="s">
        <v>583</v>
      </c>
      <c r="B259" t="s">
        <v>584</v>
      </c>
      <c r="C259" t="s">
        <v>25</v>
      </c>
      <c r="D259" t="s">
        <v>29</v>
      </c>
      <c r="E259" s="3"/>
      <c r="H259" s="1">
        <v>77</v>
      </c>
      <c r="I259" s="1">
        <v>86</v>
      </c>
      <c r="J259" s="1">
        <f t="shared" si="3"/>
        <v>86</v>
      </c>
      <c r="K259" s="2">
        <v>1.0334147285012638</v>
      </c>
      <c r="L259" s="2">
        <v>2.9456266515395222</v>
      </c>
      <c r="M259" s="2">
        <v>7.0617262896369484</v>
      </c>
      <c r="N259" s="2">
        <v>4.2069704651369433</v>
      </c>
      <c r="O259" s="2">
        <v>17.568050384521484</v>
      </c>
      <c r="P259" s="2">
        <v>50.075653076171875</v>
      </c>
      <c r="Q259" s="2">
        <v>120.04934692382812</v>
      </c>
      <c r="R259" s="2">
        <v>71.51849790732804</v>
      </c>
      <c r="S259" s="1">
        <v>90</v>
      </c>
      <c r="T259" s="1">
        <v>68</v>
      </c>
      <c r="U259" s="1">
        <v>302</v>
      </c>
      <c r="V259">
        <v>75.287663107716753</v>
      </c>
      <c r="W259">
        <v>1</v>
      </c>
      <c r="X259" s="2">
        <f>draft_board[[#This Row],[expected_ppg]]-draft_board[[#This Row],[median_ppg]]</f>
        <v>1.2613438135974211</v>
      </c>
      <c r="Y259">
        <v>16</v>
      </c>
      <c r="AB259"/>
      <c r="AG259"/>
      <c r="AK259"/>
      <c r="AL259"/>
      <c r="AM259"/>
      <c r="AO259"/>
    </row>
    <row r="260" spans="1:41" hidden="1" x14ac:dyDescent="0.2">
      <c r="A260" t="s">
        <v>577</v>
      </c>
      <c r="B260" t="s">
        <v>578</v>
      </c>
      <c r="C260" t="s">
        <v>32</v>
      </c>
      <c r="D260" t="s">
        <v>65</v>
      </c>
      <c r="E260" s="3"/>
      <c r="H260" s="1">
        <v>106</v>
      </c>
      <c r="I260" s="1">
        <v>103</v>
      </c>
      <c r="J260" s="1">
        <f t="shared" si="3"/>
        <v>103</v>
      </c>
      <c r="K260" s="2">
        <v>1.8097920137293197</v>
      </c>
      <c r="L260" s="2">
        <v>4.2073261036592369</v>
      </c>
      <c r="M260" s="2">
        <v>7.4623516307157631</v>
      </c>
      <c r="N260" s="2">
        <v>4.1921743269484786</v>
      </c>
      <c r="O260" s="2">
        <v>30.766464233398438</v>
      </c>
      <c r="P260" s="2">
        <v>71.524543762207031</v>
      </c>
      <c r="Q260" s="2">
        <v>126.85997772216797</v>
      </c>
      <c r="R260" s="2">
        <v>71.266963558124132</v>
      </c>
      <c r="S260" s="1">
        <v>109</v>
      </c>
      <c r="T260" s="1">
        <v>91</v>
      </c>
      <c r="U260" s="1">
        <v>304</v>
      </c>
      <c r="V260">
        <v>79.844767942392153</v>
      </c>
      <c r="W260">
        <v>1</v>
      </c>
      <c r="X260" s="2">
        <f>draft_board[[#This Row],[expected_ppg]]-draft_board[[#This Row],[median_ppg]]</f>
        <v>-1.5151776710758291E-2</v>
      </c>
      <c r="Y260">
        <v>16</v>
      </c>
      <c r="AB260"/>
      <c r="AG260"/>
      <c r="AK260"/>
      <c r="AL260"/>
      <c r="AM260"/>
      <c r="AO260"/>
    </row>
    <row r="261" spans="1:41" hidden="1" x14ac:dyDescent="0.2">
      <c r="A261" t="s">
        <v>437</v>
      </c>
      <c r="B261" t="s">
        <v>438</v>
      </c>
      <c r="C261" t="s">
        <v>25</v>
      </c>
      <c r="D261" t="s">
        <v>156</v>
      </c>
      <c r="E261" s="3">
        <v>329.5</v>
      </c>
      <c r="G261" s="1">
        <v>93</v>
      </c>
      <c r="H261" s="1">
        <v>78</v>
      </c>
      <c r="I261" s="1">
        <v>72</v>
      </c>
      <c r="J261" s="1">
        <f t="shared" si="3"/>
        <v>-21</v>
      </c>
      <c r="K261" s="2">
        <v>1.7787484561695772</v>
      </c>
      <c r="L261" s="2">
        <v>4.0625044878791359</v>
      </c>
      <c r="M261" s="2">
        <v>7.1778640747070312</v>
      </c>
      <c r="N261" s="2">
        <v>4.1661176188914633</v>
      </c>
      <c r="O261" s="2">
        <v>30.238723754882812</v>
      </c>
      <c r="P261" s="2">
        <v>69.062576293945312</v>
      </c>
      <c r="Q261" s="2">
        <v>122.02368927001953</v>
      </c>
      <c r="R261" s="2">
        <v>70.823999521154875</v>
      </c>
      <c r="S261" s="1">
        <v>75</v>
      </c>
      <c r="T261" s="1">
        <v>65</v>
      </c>
      <c r="U261" s="1">
        <v>306</v>
      </c>
      <c r="V261">
        <v>78.066851292559861</v>
      </c>
      <c r="W261">
        <v>1</v>
      </c>
      <c r="X261" s="2">
        <f>draft_board[[#This Row],[expected_ppg]]-draft_board[[#This Row],[median_ppg]]</f>
        <v>0.10361313101232739</v>
      </c>
      <c r="Y261">
        <v>16</v>
      </c>
      <c r="AB261"/>
      <c r="AG261"/>
      <c r="AK261"/>
      <c r="AL261"/>
      <c r="AM261"/>
      <c r="AO261"/>
    </row>
    <row r="262" spans="1:41" hidden="1" x14ac:dyDescent="0.2">
      <c r="A262" t="s">
        <v>317</v>
      </c>
      <c r="B262" t="s">
        <v>318</v>
      </c>
      <c r="C262" t="s">
        <v>25</v>
      </c>
      <c r="D262" t="s">
        <v>78</v>
      </c>
      <c r="E262" s="3">
        <v>176.5</v>
      </c>
      <c r="F262">
        <v>6</v>
      </c>
      <c r="G262" s="1">
        <v>50</v>
      </c>
      <c r="H262" s="1">
        <v>79</v>
      </c>
      <c r="I262" s="1">
        <v>64</v>
      </c>
      <c r="J262" s="1">
        <f t="shared" si="3"/>
        <v>14</v>
      </c>
      <c r="K262" s="2">
        <v>1.7181795905618107</v>
      </c>
      <c r="L262" s="2">
        <v>4.7082331040326286</v>
      </c>
      <c r="M262" s="2">
        <v>7.0871770522173714</v>
      </c>
      <c r="N262" s="2">
        <v>4.0853009796387152</v>
      </c>
      <c r="O262" s="2">
        <v>29.209053039550781</v>
      </c>
      <c r="P262" s="2">
        <v>80.039962768554688</v>
      </c>
      <c r="Q262" s="2">
        <v>120.48200988769531</v>
      </c>
      <c r="R262" s="2">
        <v>69.45011665385816</v>
      </c>
      <c r="S262" s="1">
        <v>77</v>
      </c>
      <c r="T262" s="1">
        <v>67</v>
      </c>
      <c r="U262" s="1">
        <v>310</v>
      </c>
      <c r="V262">
        <v>76.711471901147831</v>
      </c>
      <c r="W262">
        <v>2.1</v>
      </c>
      <c r="X262" s="2">
        <f>draft_board[[#This Row],[expected_ppg]]-draft_board[[#This Row],[median_ppg]]</f>
        <v>-0.62293212439391343</v>
      </c>
      <c r="Y262">
        <v>14.9</v>
      </c>
      <c r="AB262"/>
      <c r="AG262"/>
      <c r="AK262"/>
      <c r="AL262"/>
      <c r="AM262"/>
      <c r="AO262"/>
    </row>
    <row r="263" spans="1:41" hidden="1" x14ac:dyDescent="0.2">
      <c r="A263" t="s">
        <v>595</v>
      </c>
      <c r="B263" t="s">
        <v>596</v>
      </c>
      <c r="C263" t="s">
        <v>25</v>
      </c>
      <c r="D263" t="s">
        <v>182</v>
      </c>
      <c r="E263" s="3"/>
      <c r="H263" s="1">
        <v>80</v>
      </c>
      <c r="I263" s="1">
        <v>93</v>
      </c>
      <c r="J263" s="1">
        <f t="shared" si="3"/>
        <v>93</v>
      </c>
      <c r="K263" s="2">
        <v>1.5192266352036421</v>
      </c>
      <c r="L263" s="2">
        <v>2.2191287769990811</v>
      </c>
      <c r="M263" s="2">
        <v>4.3665807387408089</v>
      </c>
      <c r="N263" s="2">
        <v>4.078373786447103</v>
      </c>
      <c r="O263" s="2">
        <v>25.826852798461914</v>
      </c>
      <c r="P263" s="2">
        <v>37.725189208984375</v>
      </c>
      <c r="Q263" s="2">
        <v>74.23187255859375</v>
      </c>
      <c r="R263" s="2">
        <v>69.33235436960075</v>
      </c>
      <c r="S263" s="1">
        <v>82</v>
      </c>
      <c r="T263" s="1">
        <v>95</v>
      </c>
      <c r="U263" s="1">
        <v>311</v>
      </c>
      <c r="V263">
        <v>62.101109512070884</v>
      </c>
      <c r="W263">
        <v>1</v>
      </c>
      <c r="X263" s="2">
        <f>draft_board[[#This Row],[expected_ppg]]-draft_board[[#This Row],[median_ppg]]</f>
        <v>1.859245009448022</v>
      </c>
      <c r="Y263">
        <v>16</v>
      </c>
      <c r="AB263"/>
      <c r="AG263"/>
      <c r="AK263"/>
      <c r="AL263"/>
      <c r="AM263"/>
      <c r="AO263"/>
    </row>
    <row r="264" spans="1:41" hidden="1" x14ac:dyDescent="0.2">
      <c r="A264" t="s">
        <v>581</v>
      </c>
      <c r="B264" t="s">
        <v>582</v>
      </c>
      <c r="C264" t="s">
        <v>25</v>
      </c>
      <c r="D264" t="s">
        <v>50</v>
      </c>
      <c r="E264" s="3"/>
      <c r="H264" s="1">
        <v>81</v>
      </c>
      <c r="I264" s="1">
        <v>69</v>
      </c>
      <c r="J264" s="1">
        <f t="shared" si="3"/>
        <v>69</v>
      </c>
      <c r="K264" s="2">
        <v>2.1880421357996322</v>
      </c>
      <c r="L264" s="2">
        <v>4.3260910931755516</v>
      </c>
      <c r="M264" s="2">
        <v>6.7955030553481155</v>
      </c>
      <c r="N264" s="2">
        <v>4.053918051623822</v>
      </c>
      <c r="O264" s="2">
        <v>37.19671630859375</v>
      </c>
      <c r="P264" s="2">
        <v>73.543548583984375</v>
      </c>
      <c r="Q264" s="2">
        <v>115.52355194091797</v>
      </c>
      <c r="R264" s="2">
        <v>68.916606877604977</v>
      </c>
      <c r="S264" s="1">
        <v>67</v>
      </c>
      <c r="T264" s="1">
        <v>71</v>
      </c>
      <c r="U264" s="1">
        <v>313</v>
      </c>
      <c r="V264">
        <v>76.554712282796615</v>
      </c>
      <c r="W264">
        <v>1</v>
      </c>
      <c r="X264" s="2">
        <f>draft_board[[#This Row],[expected_ppg]]-draft_board[[#This Row],[median_ppg]]</f>
        <v>-0.27217304155172961</v>
      </c>
      <c r="Y264">
        <v>16</v>
      </c>
      <c r="AB264"/>
      <c r="AG264"/>
      <c r="AK264"/>
      <c r="AL264"/>
      <c r="AM264"/>
      <c r="AO264"/>
    </row>
    <row r="265" spans="1:41" hidden="1" x14ac:dyDescent="0.2">
      <c r="A265" t="s">
        <v>579</v>
      </c>
      <c r="B265" t="s">
        <v>580</v>
      </c>
      <c r="C265" t="s">
        <v>32</v>
      </c>
      <c r="D265" t="s">
        <v>29</v>
      </c>
      <c r="E265" s="3"/>
      <c r="H265" s="1">
        <v>111</v>
      </c>
      <c r="I265" s="1">
        <v>101</v>
      </c>
      <c r="J265" s="1">
        <f t="shared" si="3"/>
        <v>101</v>
      </c>
      <c r="K265" s="2">
        <v>1.9719604043399586</v>
      </c>
      <c r="L265" s="2">
        <v>4.2547400979434746</v>
      </c>
      <c r="M265" s="2">
        <v>7.191099279067096</v>
      </c>
      <c r="N265" s="2">
        <v>3.9784492019092461</v>
      </c>
      <c r="O265" s="2">
        <v>33.523326873779297</v>
      </c>
      <c r="P265" s="2">
        <v>72.330581665039062</v>
      </c>
      <c r="Q265" s="2">
        <v>122.24868774414062</v>
      </c>
      <c r="R265" s="2">
        <v>67.63363643245718</v>
      </c>
      <c r="S265" s="1">
        <v>106</v>
      </c>
      <c r="T265" s="1">
        <v>95</v>
      </c>
      <c r="U265" s="1">
        <v>316</v>
      </c>
      <c r="V265">
        <v>77.196089914226647</v>
      </c>
      <c r="W265">
        <v>0.8</v>
      </c>
      <c r="X265" s="2">
        <f>draft_board[[#This Row],[expected_ppg]]-draft_board[[#This Row],[median_ppg]]</f>
        <v>-0.27629089603422852</v>
      </c>
      <c r="Y265">
        <v>16.2</v>
      </c>
      <c r="AB265"/>
      <c r="AG265"/>
      <c r="AK265"/>
      <c r="AL265"/>
      <c r="AM265"/>
      <c r="AO265"/>
    </row>
    <row r="266" spans="1:41" hidden="1" x14ac:dyDescent="0.2">
      <c r="A266" t="s">
        <v>593</v>
      </c>
      <c r="B266" t="s">
        <v>594</v>
      </c>
      <c r="C266" t="s">
        <v>25</v>
      </c>
      <c r="D266" t="s">
        <v>78</v>
      </c>
      <c r="E266" s="3"/>
      <c r="H266" s="1">
        <v>82</v>
      </c>
      <c r="I266" s="1">
        <v>77</v>
      </c>
      <c r="J266" s="1">
        <f t="shared" si="3"/>
        <v>77</v>
      </c>
      <c r="K266" s="2">
        <v>1.8286120470832377</v>
      </c>
      <c r="L266" s="2">
        <v>3.5086717044605926</v>
      </c>
      <c r="M266" s="2">
        <v>5.4705680398380059</v>
      </c>
      <c r="N266" s="2">
        <v>3.9388016520410929</v>
      </c>
      <c r="O266" s="2">
        <v>31.086404800415039</v>
      </c>
      <c r="P266" s="2">
        <v>59.647418975830078</v>
      </c>
      <c r="Q266" s="2">
        <v>92.999656677246094</v>
      </c>
      <c r="R266" s="2">
        <v>66.959628084698579</v>
      </c>
      <c r="S266" s="1">
        <v>74</v>
      </c>
      <c r="T266" s="1">
        <v>85</v>
      </c>
      <c r="U266" s="1">
        <v>317</v>
      </c>
      <c r="V266">
        <v>67.596992005606126</v>
      </c>
      <c r="W266">
        <v>0.6</v>
      </c>
      <c r="X266" s="2">
        <f>draft_board[[#This Row],[expected_ppg]]-draft_board[[#This Row],[median_ppg]]</f>
        <v>0.43012994758050027</v>
      </c>
      <c r="Y266">
        <v>16.399999999999999</v>
      </c>
      <c r="AB266"/>
      <c r="AG266"/>
      <c r="AK266"/>
      <c r="AL266"/>
      <c r="AM266"/>
      <c r="AO266"/>
    </row>
    <row r="267" spans="1:41" hidden="1" x14ac:dyDescent="0.2">
      <c r="A267" t="s">
        <v>599</v>
      </c>
      <c r="B267" t="s">
        <v>600</v>
      </c>
      <c r="C267" t="s">
        <v>25</v>
      </c>
      <c r="D267" t="s">
        <v>156</v>
      </c>
      <c r="E267" s="3"/>
      <c r="H267" s="1">
        <v>83</v>
      </c>
      <c r="I267" s="1">
        <v>83</v>
      </c>
      <c r="J267" s="1">
        <f t="shared" si="3"/>
        <v>83</v>
      </c>
      <c r="K267" s="2">
        <v>2.2260340522317326</v>
      </c>
      <c r="L267" s="2">
        <v>3.0590156106387867</v>
      </c>
      <c r="M267" s="2">
        <v>3.6620532765107998</v>
      </c>
      <c r="N267" s="2">
        <v>3.8650742070024098</v>
      </c>
      <c r="O267" s="2">
        <v>37.842578887939453</v>
      </c>
      <c r="P267" s="2">
        <v>52.003265380859375</v>
      </c>
      <c r="Q267" s="2">
        <v>62.254905700683594</v>
      </c>
      <c r="R267" s="2">
        <v>65.706261519040964</v>
      </c>
      <c r="S267" s="1">
        <v>66</v>
      </c>
      <c r="T267" s="1">
        <v>102</v>
      </c>
      <c r="U267" s="1">
        <v>320</v>
      </c>
      <c r="V267">
        <v>59.098118247313451</v>
      </c>
      <c r="W267">
        <v>3.3</v>
      </c>
      <c r="X267" s="2">
        <f>draft_board[[#This Row],[expected_ppg]]-draft_board[[#This Row],[median_ppg]]</f>
        <v>0.80605859636362309</v>
      </c>
      <c r="Y267">
        <v>13.7</v>
      </c>
      <c r="AB267"/>
      <c r="AG267"/>
      <c r="AK267"/>
      <c r="AL267"/>
      <c r="AM267"/>
      <c r="AO267"/>
    </row>
    <row r="268" spans="1:41" hidden="1" x14ac:dyDescent="0.2">
      <c r="A268" t="s">
        <v>603</v>
      </c>
      <c r="B268" t="s">
        <v>604</v>
      </c>
      <c r="C268" t="s">
        <v>25</v>
      </c>
      <c r="D268" t="s">
        <v>129</v>
      </c>
      <c r="E268" s="3"/>
      <c r="H268" s="1">
        <v>84</v>
      </c>
      <c r="I268" s="1">
        <v>91</v>
      </c>
      <c r="J268" s="1">
        <f t="shared" si="3"/>
        <v>91</v>
      </c>
      <c r="K268" s="2">
        <v>1.9204422445858227</v>
      </c>
      <c r="L268" s="2">
        <v>2.6216830085305607</v>
      </c>
      <c r="M268" s="2">
        <v>2.9134263431324676</v>
      </c>
      <c r="N268" s="2">
        <v>3.8400921906285723</v>
      </c>
      <c r="O268" s="2">
        <v>32.647518157958984</v>
      </c>
      <c r="P268" s="2">
        <v>44.568611145019531</v>
      </c>
      <c r="Q268" s="2">
        <v>49.528247833251953</v>
      </c>
      <c r="R268" s="2">
        <v>65.281567240685732</v>
      </c>
      <c r="S268" s="1">
        <v>72</v>
      </c>
      <c r="T268" s="1">
        <v>112</v>
      </c>
      <c r="U268" s="1">
        <v>321</v>
      </c>
      <c r="V268">
        <v>54.028761601910247</v>
      </c>
      <c r="W268">
        <v>0.8</v>
      </c>
      <c r="X268" s="2">
        <f>draft_board[[#This Row],[expected_ppg]]-draft_board[[#This Row],[median_ppg]]</f>
        <v>1.2184091820980116</v>
      </c>
      <c r="Y268">
        <v>16.2</v>
      </c>
      <c r="AB268"/>
      <c r="AG268"/>
      <c r="AK268"/>
      <c r="AL268"/>
      <c r="AM268"/>
      <c r="AO268"/>
    </row>
    <row r="269" spans="1:41" hidden="1" x14ac:dyDescent="0.2">
      <c r="A269" t="s">
        <v>587</v>
      </c>
      <c r="B269" t="s">
        <v>588</v>
      </c>
      <c r="C269" t="s">
        <v>25</v>
      </c>
      <c r="D269" t="s">
        <v>85</v>
      </c>
      <c r="E269" s="3"/>
      <c r="H269" s="1">
        <v>85</v>
      </c>
      <c r="I269" s="1">
        <v>80</v>
      </c>
      <c r="J269" s="1">
        <f t="shared" si="3"/>
        <v>80</v>
      </c>
      <c r="K269" s="2">
        <v>0.85932092105641089</v>
      </c>
      <c r="L269" s="2">
        <v>3.3831731010885799</v>
      </c>
      <c r="M269" s="2">
        <v>7.4986778708065254</v>
      </c>
      <c r="N269" s="2">
        <v>3.6323202138510777</v>
      </c>
      <c r="O269" s="2">
        <v>14.608455657958984</v>
      </c>
      <c r="P269" s="2">
        <v>57.513942718505859</v>
      </c>
      <c r="Q269" s="2">
        <v>127.47752380371094</v>
      </c>
      <c r="R269" s="2">
        <v>61.749443635468324</v>
      </c>
      <c r="S269" s="1">
        <v>95</v>
      </c>
      <c r="T269" s="1">
        <v>62</v>
      </c>
      <c r="U269" s="1">
        <v>332</v>
      </c>
      <c r="V269">
        <v>72.039670090439245</v>
      </c>
      <c r="W269">
        <v>1</v>
      </c>
      <c r="X269" s="2">
        <f>draft_board[[#This Row],[expected_ppg]]-draft_board[[#This Row],[median_ppg]]</f>
        <v>0.24914711276249779</v>
      </c>
      <c r="Y269">
        <v>16</v>
      </c>
      <c r="AB269"/>
      <c r="AG269"/>
      <c r="AK269"/>
      <c r="AL269"/>
      <c r="AM269"/>
      <c r="AO269"/>
    </row>
    <row r="270" spans="1:41" hidden="1" x14ac:dyDescent="0.2">
      <c r="A270" t="s">
        <v>411</v>
      </c>
      <c r="B270" t="s">
        <v>412</v>
      </c>
      <c r="C270" t="s">
        <v>25</v>
      </c>
      <c r="D270" t="s">
        <v>199</v>
      </c>
      <c r="E270" s="3">
        <v>288.5</v>
      </c>
      <c r="G270" s="1">
        <v>83</v>
      </c>
      <c r="H270" s="1">
        <v>86</v>
      </c>
      <c r="I270" s="1">
        <v>85</v>
      </c>
      <c r="J270" s="1">
        <f t="shared" si="3"/>
        <v>2</v>
      </c>
      <c r="K270" s="2">
        <v>1.7303778704474955</v>
      </c>
      <c r="L270" s="2">
        <v>2.9586536183076748</v>
      </c>
      <c r="M270" s="2">
        <v>6.7644962983972885</v>
      </c>
      <c r="N270" s="2">
        <v>3.5938269027421761</v>
      </c>
      <c r="O270" s="2">
        <v>29.416423797607422</v>
      </c>
      <c r="P270" s="2">
        <v>50.297111511230469</v>
      </c>
      <c r="Q270" s="2">
        <v>114.99643707275391</v>
      </c>
      <c r="R270" s="2">
        <v>61.09505734661699</v>
      </c>
      <c r="S270" s="1">
        <v>76</v>
      </c>
      <c r="T270" s="1">
        <v>72</v>
      </c>
      <c r="U270" s="1">
        <v>334</v>
      </c>
      <c r="V270">
        <v>70.929744554656153</v>
      </c>
      <c r="W270">
        <v>0.9</v>
      </c>
      <c r="X270" s="2">
        <f>draft_board[[#This Row],[expected_ppg]]-draft_board[[#This Row],[median_ppg]]</f>
        <v>0.63517328443450127</v>
      </c>
      <c r="Y270">
        <v>16.100000000000001</v>
      </c>
      <c r="AB270"/>
      <c r="AG270"/>
      <c r="AK270"/>
      <c r="AL270"/>
      <c r="AM270"/>
      <c r="AO270"/>
    </row>
    <row r="271" spans="1:41" hidden="1" x14ac:dyDescent="0.2">
      <c r="A271" t="s">
        <v>597</v>
      </c>
      <c r="B271" t="s">
        <v>598</v>
      </c>
      <c r="C271" t="s">
        <v>25</v>
      </c>
      <c r="D271" t="s">
        <v>56</v>
      </c>
      <c r="E271" s="3"/>
      <c r="H271" s="1">
        <v>87</v>
      </c>
      <c r="I271" s="1">
        <v>81</v>
      </c>
      <c r="J271" s="1">
        <f t="shared" si="3"/>
        <v>81</v>
      </c>
      <c r="K271" s="2">
        <v>1.7174730861888212</v>
      </c>
      <c r="L271" s="2">
        <v>3.1500071357278263</v>
      </c>
      <c r="M271" s="2">
        <v>4.6997128654928773</v>
      </c>
      <c r="N271" s="2">
        <v>3.4995112003099518</v>
      </c>
      <c r="O271" s="2">
        <v>29.197042465209961</v>
      </c>
      <c r="P271" s="2">
        <v>53.550121307373047</v>
      </c>
      <c r="Q271" s="2">
        <v>79.895118713378906</v>
      </c>
      <c r="R271" s="2">
        <v>59.491690405269182</v>
      </c>
      <c r="S271" s="1">
        <v>78</v>
      </c>
      <c r="T271" s="1">
        <v>92</v>
      </c>
      <c r="U271" s="1">
        <v>336</v>
      </c>
      <c r="V271">
        <v>59.553789309690252</v>
      </c>
      <c r="W271">
        <v>1</v>
      </c>
      <c r="X271" s="2">
        <f>draft_board[[#This Row],[expected_ppg]]-draft_board[[#This Row],[median_ppg]]</f>
        <v>0.34950406458212546</v>
      </c>
      <c r="Y271">
        <v>16</v>
      </c>
      <c r="AB271"/>
      <c r="AG271"/>
      <c r="AK271"/>
      <c r="AL271"/>
      <c r="AM271"/>
      <c r="AO271"/>
    </row>
    <row r="272" spans="1:41" hidden="1" x14ac:dyDescent="0.2">
      <c r="A272" t="s">
        <v>591</v>
      </c>
      <c r="B272" t="s">
        <v>592</v>
      </c>
      <c r="C272" t="s">
        <v>25</v>
      </c>
      <c r="D272" t="s">
        <v>39</v>
      </c>
      <c r="E272" s="3"/>
      <c r="H272" s="1">
        <v>88</v>
      </c>
      <c r="I272" s="1">
        <v>88</v>
      </c>
      <c r="J272" s="1">
        <f t="shared" si="3"/>
        <v>88</v>
      </c>
      <c r="K272" s="2">
        <v>0.74202526316923256</v>
      </c>
      <c r="L272" s="2">
        <v>2.8665663775275734</v>
      </c>
      <c r="M272" s="2">
        <v>7.1204591638901658</v>
      </c>
      <c r="N272" s="2">
        <v>3.4986911940841225</v>
      </c>
      <c r="O272" s="2">
        <v>12.614429473876953</v>
      </c>
      <c r="P272" s="2">
        <v>48.73162841796875</v>
      </c>
      <c r="Q272" s="2">
        <v>121.04780578613281</v>
      </c>
      <c r="R272" s="2">
        <v>59.477750299430085</v>
      </c>
      <c r="S272" s="1">
        <v>96</v>
      </c>
      <c r="T272" s="1">
        <v>66</v>
      </c>
      <c r="U272" s="1">
        <v>337</v>
      </c>
      <c r="V272">
        <v>68.576102780330274</v>
      </c>
      <c r="W272">
        <v>1</v>
      </c>
      <c r="X272" s="2">
        <f>draft_board[[#This Row],[expected_ppg]]-draft_board[[#This Row],[median_ppg]]</f>
        <v>0.63212481655654917</v>
      </c>
      <c r="Y272">
        <v>16</v>
      </c>
      <c r="AB272"/>
      <c r="AG272"/>
      <c r="AK272"/>
      <c r="AL272"/>
      <c r="AM272"/>
      <c r="AO272"/>
    </row>
    <row r="273" spans="1:41" hidden="1" x14ac:dyDescent="0.2">
      <c r="A273" t="s">
        <v>449</v>
      </c>
      <c r="B273" t="s">
        <v>450</v>
      </c>
      <c r="C273" t="s">
        <v>25</v>
      </c>
      <c r="D273" t="s">
        <v>126</v>
      </c>
      <c r="E273" s="3">
        <v>352.5</v>
      </c>
      <c r="G273" s="1">
        <v>102</v>
      </c>
      <c r="H273" s="1">
        <v>89</v>
      </c>
      <c r="I273" s="1">
        <v>90</v>
      </c>
      <c r="J273" s="1">
        <f t="shared" si="3"/>
        <v>-12</v>
      </c>
      <c r="K273" s="2">
        <v>1.1888350318459904</v>
      </c>
      <c r="L273" s="2">
        <v>2.6268835628733918</v>
      </c>
      <c r="M273" s="2">
        <v>4.8168523451861214</v>
      </c>
      <c r="N273" s="2">
        <v>3.4223967746218791</v>
      </c>
      <c r="O273" s="2">
        <v>20.210195541381836</v>
      </c>
      <c r="P273" s="2">
        <v>44.657020568847656</v>
      </c>
      <c r="Q273" s="2">
        <v>81.886489868164062</v>
      </c>
      <c r="R273" s="2">
        <v>58.180745168571946</v>
      </c>
      <c r="S273" s="1">
        <v>88</v>
      </c>
      <c r="T273" s="1">
        <v>91</v>
      </c>
      <c r="U273" s="1">
        <v>342</v>
      </c>
      <c r="V273">
        <v>57.69835865301156</v>
      </c>
      <c r="W273">
        <v>0.9</v>
      </c>
      <c r="X273" s="2">
        <f>draft_board[[#This Row],[expected_ppg]]-draft_board[[#This Row],[median_ppg]]</f>
        <v>0.79551321174848733</v>
      </c>
      <c r="Y273">
        <v>16.100000000000001</v>
      </c>
      <c r="AB273"/>
      <c r="AG273"/>
      <c r="AK273"/>
      <c r="AL273"/>
      <c r="AM273"/>
      <c r="AO273"/>
    </row>
    <row r="274" spans="1:41" hidden="1" x14ac:dyDescent="0.2">
      <c r="A274" t="s">
        <v>607</v>
      </c>
      <c r="B274" t="s">
        <v>608</v>
      </c>
      <c r="C274" t="s">
        <v>25</v>
      </c>
      <c r="D274" t="s">
        <v>119</v>
      </c>
      <c r="E274" s="3"/>
      <c r="H274" s="1">
        <v>92</v>
      </c>
      <c r="I274" s="1">
        <v>95</v>
      </c>
      <c r="J274" s="1">
        <f t="shared" si="3"/>
        <v>95</v>
      </c>
      <c r="K274" s="2">
        <v>1.2149876987232882</v>
      </c>
      <c r="L274" s="2">
        <v>2.0770730411305145</v>
      </c>
      <c r="M274" s="2">
        <v>3.6598777770996094</v>
      </c>
      <c r="N274" s="2">
        <v>3.1768387638544628</v>
      </c>
      <c r="O274" s="2">
        <v>20.654790878295898</v>
      </c>
      <c r="P274" s="2">
        <v>35.31024169921875</v>
      </c>
      <c r="Q274" s="2">
        <v>62.217922210693359</v>
      </c>
      <c r="R274" s="2">
        <v>54.006258985525868</v>
      </c>
      <c r="S274" s="1">
        <v>86</v>
      </c>
      <c r="T274" s="1">
        <v>103</v>
      </c>
      <c r="U274" s="1">
        <v>357</v>
      </c>
      <c r="V274">
        <v>49.799464331630126</v>
      </c>
      <c r="W274">
        <v>1</v>
      </c>
      <c r="X274" s="2">
        <f>draft_board[[#This Row],[expected_ppg]]-draft_board[[#This Row],[median_ppg]]</f>
        <v>1.0997657227239483</v>
      </c>
      <c r="Y274">
        <v>16</v>
      </c>
      <c r="AB274"/>
      <c r="AG274"/>
      <c r="AK274"/>
      <c r="AL274"/>
      <c r="AM274"/>
      <c r="AO274"/>
    </row>
    <row r="275" spans="1:41" hidden="1" x14ac:dyDescent="0.2">
      <c r="A275" t="s">
        <v>601</v>
      </c>
      <c r="B275" t="s">
        <v>602</v>
      </c>
      <c r="C275" t="s">
        <v>25</v>
      </c>
      <c r="D275" t="s">
        <v>78</v>
      </c>
      <c r="E275" s="3"/>
      <c r="H275" s="1">
        <v>93</v>
      </c>
      <c r="I275" s="1">
        <v>94</v>
      </c>
      <c r="J275" s="1">
        <f t="shared" si="3"/>
        <v>94</v>
      </c>
      <c r="K275" s="2">
        <v>0.89626985437729778</v>
      </c>
      <c r="L275" s="2">
        <v>2.2056328268612133</v>
      </c>
      <c r="M275" s="2">
        <v>5.3716982673196227</v>
      </c>
      <c r="N275" s="2">
        <v>3.141643931249579</v>
      </c>
      <c r="O275" s="2">
        <v>15.236587524414062</v>
      </c>
      <c r="P275" s="2">
        <v>37.495758056640625</v>
      </c>
      <c r="Q275" s="2">
        <v>91.318870544433594</v>
      </c>
      <c r="R275" s="2">
        <v>53.407946831242839</v>
      </c>
      <c r="S275" s="1">
        <v>94</v>
      </c>
      <c r="T275" s="1">
        <v>86</v>
      </c>
      <c r="U275" s="1">
        <v>359</v>
      </c>
      <c r="V275">
        <v>57.146952083834307</v>
      </c>
      <c r="W275">
        <v>1</v>
      </c>
      <c r="X275" s="2">
        <f>draft_board[[#This Row],[expected_ppg]]-draft_board[[#This Row],[median_ppg]]</f>
        <v>0.93601110438836566</v>
      </c>
      <c r="Y275">
        <v>16</v>
      </c>
      <c r="AB275"/>
      <c r="AG275"/>
      <c r="AK275"/>
      <c r="AL275"/>
      <c r="AM275"/>
      <c r="AO275"/>
    </row>
    <row r="276" spans="1:41" hidden="1" x14ac:dyDescent="0.2">
      <c r="A276" t="s">
        <v>605</v>
      </c>
      <c r="B276" t="s">
        <v>606</v>
      </c>
      <c r="C276" t="s">
        <v>25</v>
      </c>
      <c r="D276" t="s">
        <v>75</v>
      </c>
      <c r="E276" s="3"/>
      <c r="H276" s="1">
        <v>100</v>
      </c>
      <c r="I276" s="1">
        <v>92</v>
      </c>
      <c r="J276" s="1">
        <f t="shared" si="3"/>
        <v>92</v>
      </c>
      <c r="K276" s="2">
        <v>0.95178054360782394</v>
      </c>
      <c r="L276" s="2">
        <v>2.4016730364631202</v>
      </c>
      <c r="M276" s="2">
        <v>5.3350574269014244</v>
      </c>
      <c r="N276" s="2">
        <v>2.7441500513770225</v>
      </c>
      <c r="O276" s="2">
        <v>16.180269241333008</v>
      </c>
      <c r="P276" s="2">
        <v>40.828441619873047</v>
      </c>
      <c r="Q276" s="2">
        <v>90.695976257324219</v>
      </c>
      <c r="R276" s="2">
        <v>46.650550873409379</v>
      </c>
      <c r="S276" s="1">
        <v>93</v>
      </c>
      <c r="T276" s="1">
        <v>88</v>
      </c>
      <c r="U276" s="1">
        <v>385</v>
      </c>
      <c r="V276">
        <v>53.770122162168555</v>
      </c>
      <c r="W276">
        <v>1</v>
      </c>
      <c r="X276" s="2">
        <f>draft_board[[#This Row],[expected_ppg]]-draft_board[[#This Row],[median_ppg]]</f>
        <v>0.34247701491390226</v>
      </c>
      <c r="Y276">
        <v>16</v>
      </c>
      <c r="AB276"/>
      <c r="AG276"/>
      <c r="AK276"/>
      <c r="AL276"/>
      <c r="AM276"/>
      <c r="AO276"/>
    </row>
  </sheetData>
  <conditionalFormatting sqref="J1:J1048576">
    <cfRule type="cellIs" dxfId="1" priority="1" operator="lessThan">
      <formula>-7</formula>
    </cfRule>
    <cfRule type="cellIs" dxfId="0" priority="2" operator="greaterThan">
      <formula>7</formula>
    </cfRule>
  </conditionalFormatting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640EA-D333-9148-81F2-45CD8F4FE6B6}">
  <dimension ref="A1:J25"/>
  <sheetViews>
    <sheetView workbookViewId="0">
      <selection activeCell="I23" sqref="I23:J23"/>
    </sheetView>
  </sheetViews>
  <sheetFormatPr baseColWidth="10" defaultRowHeight="15" x14ac:dyDescent="0.2"/>
  <cols>
    <col min="1" max="1" width="28.5" style="12" customWidth="1"/>
    <col min="2" max="2" width="10.83203125" style="12"/>
    <col min="3" max="3" width="13.33203125" style="12" bestFit="1" customWidth="1"/>
    <col min="4" max="7" width="10.83203125" style="12"/>
    <col min="8" max="8" width="5.83203125" style="12" bestFit="1" customWidth="1"/>
    <col min="9" max="9" width="10.83203125" style="12"/>
    <col min="10" max="10" width="30.5" style="12" customWidth="1"/>
    <col min="11" max="16384" width="10.83203125" style="12"/>
  </cols>
  <sheetData>
    <row r="1" spans="1:10" ht="24" customHeight="1" x14ac:dyDescent="0.2">
      <c r="A1" s="12" t="s">
        <v>610</v>
      </c>
      <c r="B1" s="12" t="s">
        <v>611</v>
      </c>
      <c r="C1" s="12" t="s">
        <v>612</v>
      </c>
      <c r="D1" s="12" t="s">
        <v>613</v>
      </c>
      <c r="H1" s="22" t="s">
        <v>628</v>
      </c>
      <c r="I1" s="22"/>
      <c r="J1" s="22"/>
    </row>
    <row r="2" spans="1:10" x14ac:dyDescent="0.2">
      <c r="A2" s="12">
        <v>1</v>
      </c>
      <c r="B2" s="12">
        <v>2</v>
      </c>
      <c r="C2" s="12" t="s">
        <v>28</v>
      </c>
      <c r="D2" s="12" t="s">
        <v>25</v>
      </c>
      <c r="H2" s="22"/>
      <c r="I2" s="22"/>
      <c r="J2" s="22"/>
    </row>
    <row r="3" spans="1:10" ht="16" customHeight="1" x14ac:dyDescent="0.2">
      <c r="A3" s="12">
        <v>2</v>
      </c>
      <c r="B3" s="12">
        <v>19</v>
      </c>
      <c r="H3" s="13"/>
      <c r="I3" s="20"/>
      <c r="J3" s="21"/>
    </row>
    <row r="4" spans="1:10" x14ac:dyDescent="0.2">
      <c r="A4" s="12">
        <v>3</v>
      </c>
      <c r="B4" s="12">
        <v>21</v>
      </c>
      <c r="H4" s="14" t="s">
        <v>614</v>
      </c>
      <c r="I4" s="16" t="s">
        <v>213</v>
      </c>
      <c r="J4" s="17"/>
    </row>
    <row r="5" spans="1:10" x14ac:dyDescent="0.2">
      <c r="A5" s="12">
        <v>4</v>
      </c>
      <c r="B5" s="12">
        <v>39</v>
      </c>
      <c r="H5" s="14" t="s">
        <v>615</v>
      </c>
      <c r="I5" s="16"/>
      <c r="J5" s="17"/>
    </row>
    <row r="6" spans="1:10" x14ac:dyDescent="0.2">
      <c r="A6" s="12">
        <v>5</v>
      </c>
      <c r="B6" s="12">
        <v>41</v>
      </c>
      <c r="H6" s="13"/>
      <c r="I6" s="20"/>
      <c r="J6" s="21"/>
    </row>
    <row r="7" spans="1:10" x14ac:dyDescent="0.2">
      <c r="A7" s="12">
        <v>6</v>
      </c>
      <c r="B7" s="12">
        <v>59</v>
      </c>
      <c r="H7" s="14" t="s">
        <v>616</v>
      </c>
      <c r="I7" s="16" t="s">
        <v>28</v>
      </c>
      <c r="J7" s="17"/>
    </row>
    <row r="8" spans="1:10" x14ac:dyDescent="0.2">
      <c r="A8" s="12">
        <v>7</v>
      </c>
      <c r="B8" s="12">
        <v>61</v>
      </c>
      <c r="H8" s="14" t="s">
        <v>617</v>
      </c>
      <c r="I8" s="16" t="s">
        <v>631</v>
      </c>
      <c r="J8" s="17"/>
    </row>
    <row r="9" spans="1:10" x14ac:dyDescent="0.2">
      <c r="A9" s="12">
        <v>8</v>
      </c>
      <c r="B9" s="12">
        <v>79</v>
      </c>
      <c r="H9" s="14" t="s">
        <v>618</v>
      </c>
      <c r="I9" s="16" t="s">
        <v>632</v>
      </c>
      <c r="J9" s="17"/>
    </row>
    <row r="10" spans="1:10" x14ac:dyDescent="0.2">
      <c r="A10" s="12">
        <v>9</v>
      </c>
      <c r="B10" s="12">
        <v>81</v>
      </c>
      <c r="H10" s="14" t="s">
        <v>619</v>
      </c>
      <c r="I10" s="16" t="s">
        <v>234</v>
      </c>
      <c r="J10" s="17"/>
    </row>
    <row r="11" spans="1:10" x14ac:dyDescent="0.2">
      <c r="A11" s="12">
        <v>10</v>
      </c>
      <c r="B11" s="12">
        <v>99</v>
      </c>
      <c r="H11" s="15" t="s">
        <v>634</v>
      </c>
      <c r="I11" s="18" t="s">
        <v>636</v>
      </c>
      <c r="J11" s="19"/>
    </row>
    <row r="12" spans="1:10" x14ac:dyDescent="0.2">
      <c r="A12" s="12">
        <v>11</v>
      </c>
      <c r="B12" s="12">
        <v>101</v>
      </c>
      <c r="H12" s="15" t="s">
        <v>637</v>
      </c>
      <c r="I12" s="18" t="s">
        <v>298</v>
      </c>
      <c r="J12" s="19"/>
    </row>
    <row r="13" spans="1:10" x14ac:dyDescent="0.2">
      <c r="A13" s="12">
        <v>12</v>
      </c>
      <c r="B13" s="12">
        <v>119</v>
      </c>
      <c r="H13" s="13"/>
      <c r="I13" s="20"/>
      <c r="J13" s="21"/>
    </row>
    <row r="14" spans="1:10" x14ac:dyDescent="0.2">
      <c r="A14" s="12">
        <v>13</v>
      </c>
      <c r="B14" s="12">
        <v>121</v>
      </c>
      <c r="H14" s="14" t="s">
        <v>620</v>
      </c>
      <c r="I14" s="16" t="s">
        <v>630</v>
      </c>
      <c r="J14" s="17"/>
    </row>
    <row r="15" spans="1:10" x14ac:dyDescent="0.2">
      <c r="A15" s="12">
        <v>14</v>
      </c>
      <c r="B15" s="12">
        <v>139</v>
      </c>
      <c r="H15" s="14" t="s">
        <v>621</v>
      </c>
      <c r="I15" s="16" t="s">
        <v>114</v>
      </c>
      <c r="J15" s="17"/>
    </row>
    <row r="16" spans="1:10" x14ac:dyDescent="0.2">
      <c r="A16" s="12">
        <v>15</v>
      </c>
      <c r="B16" s="12">
        <v>141</v>
      </c>
      <c r="H16" s="14" t="s">
        <v>622</v>
      </c>
      <c r="I16" s="16" t="s">
        <v>633</v>
      </c>
      <c r="J16" s="17"/>
    </row>
    <row r="17" spans="8:10" x14ac:dyDescent="0.2">
      <c r="H17" s="14" t="s">
        <v>623</v>
      </c>
      <c r="I17" s="16" t="s">
        <v>238</v>
      </c>
      <c r="J17" s="17"/>
    </row>
    <row r="18" spans="8:10" x14ac:dyDescent="0.2">
      <c r="H18" s="15" t="s">
        <v>635</v>
      </c>
      <c r="I18" s="18" t="s">
        <v>310</v>
      </c>
      <c r="J18" s="19"/>
    </row>
    <row r="19" spans="8:10" x14ac:dyDescent="0.2">
      <c r="H19" s="13"/>
      <c r="I19" s="20"/>
      <c r="J19" s="21"/>
    </row>
    <row r="20" spans="8:10" x14ac:dyDescent="0.2">
      <c r="H20" s="14" t="s">
        <v>624</v>
      </c>
      <c r="I20" s="16" t="s">
        <v>83</v>
      </c>
      <c r="J20" s="17"/>
    </row>
    <row r="21" spans="8:10" x14ac:dyDescent="0.2">
      <c r="H21" s="14" t="s">
        <v>625</v>
      </c>
      <c r="I21" s="16"/>
      <c r="J21" s="17"/>
    </row>
    <row r="22" spans="8:10" x14ac:dyDescent="0.2">
      <c r="H22" s="13"/>
      <c r="I22" s="20"/>
      <c r="J22" s="21"/>
    </row>
    <row r="23" spans="8:10" x14ac:dyDescent="0.2">
      <c r="H23" s="14" t="s">
        <v>626</v>
      </c>
      <c r="I23" s="16"/>
      <c r="J23" s="17"/>
    </row>
    <row r="24" spans="8:10" x14ac:dyDescent="0.2">
      <c r="H24" s="13"/>
      <c r="I24" s="20"/>
      <c r="J24" s="21"/>
    </row>
    <row r="25" spans="8:10" x14ac:dyDescent="0.2">
      <c r="H25" s="14" t="s">
        <v>627</v>
      </c>
      <c r="I25" s="16" t="s">
        <v>638</v>
      </c>
      <c r="J25" s="17"/>
    </row>
  </sheetData>
  <mergeCells count="24">
    <mergeCell ref="I23:J23"/>
    <mergeCell ref="I24:J24"/>
    <mergeCell ref="I25:J25"/>
    <mergeCell ref="I12:J12"/>
    <mergeCell ref="H1:J2"/>
    <mergeCell ref="I4:J4"/>
    <mergeCell ref="I6:J6"/>
    <mergeCell ref="I5:J5"/>
    <mergeCell ref="I11:J11"/>
    <mergeCell ref="I19:J19"/>
    <mergeCell ref="I20:J20"/>
    <mergeCell ref="I21:J21"/>
    <mergeCell ref="I3:J3"/>
    <mergeCell ref="I22:J22"/>
    <mergeCell ref="I13:J13"/>
    <mergeCell ref="I14:J14"/>
    <mergeCell ref="I15:J15"/>
    <mergeCell ref="I16:J16"/>
    <mergeCell ref="I17:J17"/>
    <mergeCell ref="I18:J18"/>
    <mergeCell ref="I7:J7"/>
    <mergeCell ref="I8:J8"/>
    <mergeCell ref="I9:J9"/>
    <mergeCell ref="I10:J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8320BD-DFBA-AC49-8E38-37FC7A43E4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Draft Board</vt:lpstr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 chlebowy</dc:creator>
  <cp:lastModifiedBy>jackson chlebowy</cp:lastModifiedBy>
  <dcterms:created xsi:type="dcterms:W3CDTF">2026-08-30T16:54:35Z</dcterms:created>
  <dcterms:modified xsi:type="dcterms:W3CDTF">2026-09-09T19:26:51Z</dcterms:modified>
</cp:coreProperties>
</file>